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nand\Desktop\Soniya\PowerBI\MpowerBI\"/>
    </mc:Choice>
  </mc:AlternateContent>
  <xr:revisionPtr revIDLastSave="0" documentId="13_ncr:1_{28074D32-7A27-47A7-BA13-02800C720523}" xr6:coauthVersionLast="47" xr6:coauthVersionMax="47" xr10:uidLastSave="{00000000-0000-0000-0000-000000000000}"/>
  <bookViews>
    <workbookView xWindow="-120" yWindow="-120" windowWidth="25440" windowHeight="15390" tabRatio="850" activeTab="9" xr2:uid="{00000000-000D-0000-FFFF-FFFF00000000}"/>
  </bookViews>
  <sheets>
    <sheet name="Sales_Data" sheetId="1" r:id="rId1"/>
    <sheet name="Product_Master" sheetId="2" r:id="rId2"/>
    <sheet name="Sales_Rep_Master" sheetId="3" r:id="rId3"/>
    <sheet name="Region Wise Sales &amp; Profit" sheetId="5" r:id="rId4"/>
    <sheet name="Category wise sales" sheetId="6" r:id="rId5"/>
    <sheet name="Sales Rep Performance" sheetId="7" r:id="rId6"/>
    <sheet name="Monthly Trend" sheetId="8" r:id="rId7"/>
    <sheet name="KPIs" sheetId="12" r:id="rId8"/>
    <sheet name="Fliter" sheetId="13" r:id="rId9"/>
    <sheet name="Dashboard" sheetId="10" r:id="rId10"/>
  </sheets>
  <definedNames>
    <definedName name="Slicer_Category">#N/A</definedName>
    <definedName name="Slicer_Order_Date">#N/A</definedName>
    <definedName name="Slicer_Region">#N/A</definedName>
    <definedName name="Slicer_Sales_Rep">#N/A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2" i="1"/>
  <c r="K3" i="1"/>
  <c r="K4" i="1"/>
  <c r="O4" i="1" s="1"/>
  <c r="K5" i="1"/>
  <c r="O5" i="1" s="1"/>
  <c r="K6" i="1"/>
  <c r="O6" i="1" s="1"/>
  <c r="K7" i="1"/>
  <c r="K8" i="1"/>
  <c r="K9" i="1"/>
  <c r="K10" i="1"/>
  <c r="K11" i="1"/>
  <c r="K12" i="1"/>
  <c r="K13" i="1"/>
  <c r="K14" i="1"/>
  <c r="O14" i="1" s="1"/>
  <c r="K15" i="1"/>
  <c r="K16" i="1"/>
  <c r="K17" i="1"/>
  <c r="K18" i="1"/>
  <c r="K19" i="1"/>
  <c r="K20" i="1"/>
  <c r="O20" i="1" s="1"/>
  <c r="K21" i="1"/>
  <c r="K22" i="1"/>
  <c r="O22" i="1" s="1"/>
  <c r="K23" i="1"/>
  <c r="K24" i="1"/>
  <c r="K25" i="1"/>
  <c r="K26" i="1"/>
  <c r="K27" i="1"/>
  <c r="K28" i="1"/>
  <c r="O28" i="1" s="1"/>
  <c r="K29" i="1"/>
  <c r="K30" i="1"/>
  <c r="O30" i="1" s="1"/>
  <c r="K31" i="1"/>
  <c r="K32" i="1"/>
  <c r="K33" i="1"/>
  <c r="K34" i="1"/>
  <c r="K35" i="1"/>
  <c r="K36" i="1"/>
  <c r="K37" i="1"/>
  <c r="K38" i="1"/>
  <c r="O38" i="1" s="1"/>
  <c r="K39" i="1"/>
  <c r="K40" i="1"/>
  <c r="K41" i="1"/>
  <c r="K42" i="1"/>
  <c r="K43" i="1"/>
  <c r="K44" i="1"/>
  <c r="K45" i="1"/>
  <c r="K46" i="1"/>
  <c r="O46" i="1" s="1"/>
  <c r="K47" i="1"/>
  <c r="K48" i="1"/>
  <c r="K49" i="1"/>
  <c r="K50" i="1"/>
  <c r="K51" i="1"/>
  <c r="O51" i="1" s="1"/>
  <c r="K52" i="1"/>
  <c r="O52" i="1" s="1"/>
  <c r="K53" i="1"/>
  <c r="K54" i="1"/>
  <c r="O54" i="1" s="1"/>
  <c r="K55" i="1"/>
  <c r="K56" i="1"/>
  <c r="K57" i="1"/>
  <c r="K58" i="1"/>
  <c r="K59" i="1"/>
  <c r="K60" i="1"/>
  <c r="K61" i="1"/>
  <c r="K62" i="1"/>
  <c r="O62" i="1" s="1"/>
  <c r="K63" i="1"/>
  <c r="K64" i="1"/>
  <c r="K65" i="1"/>
  <c r="K66" i="1"/>
  <c r="K67" i="1"/>
  <c r="K68" i="1"/>
  <c r="K69" i="1"/>
  <c r="K70" i="1"/>
  <c r="O70" i="1" s="1"/>
  <c r="K71" i="1"/>
  <c r="K72" i="1"/>
  <c r="K73" i="1"/>
  <c r="K74" i="1"/>
  <c r="K75" i="1"/>
  <c r="O75" i="1" s="1"/>
  <c r="K76" i="1"/>
  <c r="O76" i="1" s="1"/>
  <c r="K77" i="1"/>
  <c r="K78" i="1"/>
  <c r="O78" i="1" s="1"/>
  <c r="K79" i="1"/>
  <c r="K80" i="1"/>
  <c r="K81" i="1"/>
  <c r="K82" i="1"/>
  <c r="K83" i="1"/>
  <c r="K84" i="1"/>
  <c r="K85" i="1"/>
  <c r="K86" i="1"/>
  <c r="O86" i="1" s="1"/>
  <c r="K87" i="1"/>
  <c r="K88" i="1"/>
  <c r="K89" i="1"/>
  <c r="K90" i="1"/>
  <c r="K91" i="1"/>
  <c r="K92" i="1"/>
  <c r="K93" i="1"/>
  <c r="K94" i="1"/>
  <c r="O94" i="1" s="1"/>
  <c r="K95" i="1"/>
  <c r="K96" i="1"/>
  <c r="K97" i="1"/>
  <c r="K98" i="1"/>
  <c r="K99" i="1"/>
  <c r="O99" i="1" s="1"/>
  <c r="K100" i="1"/>
  <c r="O100" i="1" s="1"/>
  <c r="K101" i="1"/>
  <c r="K102" i="1"/>
  <c r="O102" i="1" s="1"/>
  <c r="K103" i="1"/>
  <c r="K104" i="1"/>
  <c r="K105" i="1"/>
  <c r="K106" i="1"/>
  <c r="K107" i="1"/>
  <c r="K108" i="1"/>
  <c r="K109" i="1"/>
  <c r="K110" i="1"/>
  <c r="K111" i="1"/>
  <c r="K112" i="1"/>
  <c r="K113" i="1"/>
  <c r="K114" i="1"/>
  <c r="K115" i="1"/>
  <c r="K116" i="1"/>
  <c r="K117" i="1"/>
  <c r="K118" i="1"/>
  <c r="O118" i="1" s="1"/>
  <c r="K119" i="1"/>
  <c r="K120" i="1"/>
  <c r="K121" i="1"/>
  <c r="K122" i="1"/>
  <c r="K123" i="1"/>
  <c r="K124" i="1"/>
  <c r="O124" i="1" s="1"/>
  <c r="K125" i="1"/>
  <c r="K126" i="1"/>
  <c r="O126" i="1" s="1"/>
  <c r="K127" i="1"/>
  <c r="K128" i="1"/>
  <c r="K129" i="1"/>
  <c r="K130" i="1"/>
  <c r="K131" i="1"/>
  <c r="K132" i="1"/>
  <c r="K133" i="1"/>
  <c r="K134" i="1"/>
  <c r="O134" i="1" s="1"/>
  <c r="K135" i="1"/>
  <c r="K136" i="1"/>
  <c r="K137" i="1"/>
  <c r="K138" i="1"/>
  <c r="K139" i="1"/>
  <c r="K140" i="1"/>
  <c r="K141" i="1"/>
  <c r="K142" i="1"/>
  <c r="O142" i="1" s="1"/>
  <c r="K143" i="1"/>
  <c r="K144" i="1"/>
  <c r="K145" i="1"/>
  <c r="K146" i="1"/>
  <c r="K147" i="1"/>
  <c r="K148" i="1"/>
  <c r="O148" i="1" s="1"/>
  <c r="K149" i="1"/>
  <c r="K150" i="1"/>
  <c r="K151" i="1"/>
  <c r="K152" i="1"/>
  <c r="K153" i="1"/>
  <c r="K154" i="1"/>
  <c r="K155" i="1"/>
  <c r="K156" i="1"/>
  <c r="K157" i="1"/>
  <c r="K158" i="1"/>
  <c r="O158" i="1" s="1"/>
  <c r="K159" i="1"/>
  <c r="K160" i="1"/>
  <c r="K161" i="1"/>
  <c r="K162" i="1"/>
  <c r="K163" i="1"/>
  <c r="K164" i="1"/>
  <c r="K165" i="1"/>
  <c r="K166" i="1"/>
  <c r="O166" i="1" s="1"/>
  <c r="K167" i="1"/>
  <c r="K168" i="1"/>
  <c r="K169" i="1"/>
  <c r="K170" i="1"/>
  <c r="K171" i="1"/>
  <c r="K172" i="1"/>
  <c r="O172" i="1" s="1"/>
  <c r="K173" i="1"/>
  <c r="K174" i="1"/>
  <c r="K175" i="1"/>
  <c r="K176" i="1"/>
  <c r="K177" i="1"/>
  <c r="K178" i="1"/>
  <c r="K179" i="1"/>
  <c r="K180" i="1"/>
  <c r="K181" i="1"/>
  <c r="K182" i="1"/>
  <c r="O182" i="1" s="1"/>
  <c r="K183" i="1"/>
  <c r="K184" i="1"/>
  <c r="K185" i="1"/>
  <c r="K186" i="1"/>
  <c r="K187" i="1"/>
  <c r="K188" i="1"/>
  <c r="K189" i="1"/>
  <c r="K190" i="1"/>
  <c r="O190" i="1" s="1"/>
  <c r="K191" i="1"/>
  <c r="K192" i="1"/>
  <c r="K193" i="1"/>
  <c r="K194" i="1"/>
  <c r="K195" i="1"/>
  <c r="K196" i="1"/>
  <c r="O196" i="1" s="1"/>
  <c r="K197" i="1"/>
  <c r="K198" i="1"/>
  <c r="K199" i="1"/>
  <c r="K200" i="1"/>
  <c r="K201" i="1"/>
  <c r="K202" i="1"/>
  <c r="K203" i="1"/>
  <c r="K204" i="1"/>
  <c r="K205" i="1"/>
  <c r="K206" i="1"/>
  <c r="O206" i="1" s="1"/>
  <c r="K207" i="1"/>
  <c r="K208" i="1"/>
  <c r="K209" i="1"/>
  <c r="K210" i="1"/>
  <c r="K211" i="1"/>
  <c r="K212" i="1"/>
  <c r="K213" i="1"/>
  <c r="K214" i="1"/>
  <c r="O214" i="1" s="1"/>
  <c r="K215" i="1"/>
  <c r="K216" i="1"/>
  <c r="K217" i="1"/>
  <c r="K218" i="1"/>
  <c r="K219" i="1"/>
  <c r="K220" i="1"/>
  <c r="O220" i="1" s="1"/>
  <c r="K221" i="1"/>
  <c r="K222" i="1"/>
  <c r="K223" i="1"/>
  <c r="K224" i="1"/>
  <c r="K225" i="1"/>
  <c r="K226" i="1"/>
  <c r="K227" i="1"/>
  <c r="K228" i="1"/>
  <c r="K229" i="1"/>
  <c r="K230" i="1"/>
  <c r="O230" i="1" s="1"/>
  <c r="K231" i="1"/>
  <c r="K232" i="1"/>
  <c r="K233" i="1"/>
  <c r="K234" i="1"/>
  <c r="K235" i="1"/>
  <c r="K236" i="1"/>
  <c r="K237" i="1"/>
  <c r="K238" i="1"/>
  <c r="K239" i="1"/>
  <c r="K240" i="1"/>
  <c r="K241" i="1"/>
  <c r="K242" i="1"/>
  <c r="K243" i="1"/>
  <c r="K244" i="1"/>
  <c r="O244" i="1" s="1"/>
  <c r="K245" i="1"/>
  <c r="K246" i="1"/>
  <c r="K247" i="1"/>
  <c r="K248" i="1"/>
  <c r="K249" i="1"/>
  <c r="K250" i="1"/>
  <c r="K251" i="1"/>
  <c r="K252" i="1"/>
  <c r="K253" i="1"/>
  <c r="K254" i="1"/>
  <c r="O254" i="1" s="1"/>
  <c r="K255" i="1"/>
  <c r="K256" i="1"/>
  <c r="K257" i="1"/>
  <c r="K258" i="1"/>
  <c r="K259" i="1"/>
  <c r="K260" i="1"/>
  <c r="K261" i="1"/>
  <c r="K262" i="1"/>
  <c r="K263" i="1"/>
  <c r="K264" i="1"/>
  <c r="K265" i="1"/>
  <c r="K266" i="1"/>
  <c r="K267" i="1"/>
  <c r="K268" i="1"/>
  <c r="O268" i="1" s="1"/>
  <c r="K269" i="1"/>
  <c r="K270" i="1"/>
  <c r="K271" i="1"/>
  <c r="K272" i="1"/>
  <c r="K273" i="1"/>
  <c r="K274" i="1"/>
  <c r="K275" i="1"/>
  <c r="K276" i="1"/>
  <c r="K277" i="1"/>
  <c r="K278" i="1"/>
  <c r="O278" i="1" s="1"/>
  <c r="K279" i="1"/>
  <c r="K280" i="1"/>
  <c r="K281" i="1"/>
  <c r="K282" i="1"/>
  <c r="K283" i="1"/>
  <c r="K284" i="1"/>
  <c r="K285" i="1"/>
  <c r="K286" i="1"/>
  <c r="K287" i="1"/>
  <c r="K288" i="1"/>
  <c r="K289" i="1"/>
  <c r="K290" i="1"/>
  <c r="K291" i="1"/>
  <c r="K292" i="1"/>
  <c r="O292" i="1" s="1"/>
  <c r="K293" i="1"/>
  <c r="K294" i="1"/>
  <c r="K295" i="1"/>
  <c r="K296" i="1"/>
  <c r="K297" i="1"/>
  <c r="K298" i="1"/>
  <c r="K299" i="1"/>
  <c r="K300" i="1"/>
  <c r="K301" i="1"/>
  <c r="K302" i="1"/>
  <c r="K303" i="1"/>
  <c r="K304" i="1"/>
  <c r="K305" i="1"/>
  <c r="K306" i="1"/>
  <c r="K307" i="1"/>
  <c r="K308" i="1"/>
  <c r="K309" i="1"/>
  <c r="K310" i="1"/>
  <c r="K311" i="1"/>
  <c r="K312" i="1"/>
  <c r="K313" i="1"/>
  <c r="K314" i="1"/>
  <c r="K315" i="1"/>
  <c r="K316" i="1"/>
  <c r="O316" i="1" s="1"/>
  <c r="K317" i="1"/>
  <c r="K318" i="1"/>
  <c r="K319" i="1"/>
  <c r="K320" i="1"/>
  <c r="K321" i="1"/>
  <c r="K322" i="1"/>
  <c r="K323" i="1"/>
  <c r="K324" i="1"/>
  <c r="K325" i="1"/>
  <c r="K326" i="1"/>
  <c r="K327" i="1"/>
  <c r="K328" i="1"/>
  <c r="K329" i="1"/>
  <c r="K330" i="1"/>
  <c r="K331" i="1"/>
  <c r="K332" i="1"/>
  <c r="K333" i="1"/>
  <c r="K334" i="1"/>
  <c r="K335" i="1"/>
  <c r="K336" i="1"/>
  <c r="K337" i="1"/>
  <c r="K338" i="1"/>
  <c r="K339" i="1"/>
  <c r="K340" i="1"/>
  <c r="O340" i="1" s="1"/>
  <c r="K341" i="1"/>
  <c r="K342" i="1"/>
  <c r="K343" i="1"/>
  <c r="K344" i="1"/>
  <c r="K345" i="1"/>
  <c r="K346" i="1"/>
  <c r="K347" i="1"/>
  <c r="K348" i="1"/>
  <c r="K349" i="1"/>
  <c r="K350" i="1"/>
  <c r="K351" i="1"/>
  <c r="K352" i="1"/>
  <c r="K353" i="1"/>
  <c r="K354" i="1"/>
  <c r="K355" i="1"/>
  <c r="K356" i="1"/>
  <c r="K357" i="1"/>
  <c r="K358" i="1"/>
  <c r="K359" i="1"/>
  <c r="K360" i="1"/>
  <c r="K361" i="1"/>
  <c r="K362" i="1"/>
  <c r="K363" i="1"/>
  <c r="K364" i="1"/>
  <c r="O364" i="1" s="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J3" i="1"/>
  <c r="L3" i="1" s="1"/>
  <c r="J4" i="1"/>
  <c r="L4" i="1" s="1"/>
  <c r="J5" i="1"/>
  <c r="L5" i="1" s="1"/>
  <c r="J6" i="1"/>
  <c r="L6" i="1" s="1"/>
  <c r="J7" i="1"/>
  <c r="L7" i="1" s="1"/>
  <c r="J8" i="1"/>
  <c r="L8" i="1" s="1"/>
  <c r="J9" i="1"/>
  <c r="L9" i="1" s="1"/>
  <c r="J10" i="1"/>
  <c r="L10" i="1" s="1"/>
  <c r="J11" i="1"/>
  <c r="L11" i="1" s="1"/>
  <c r="J12" i="1"/>
  <c r="L12" i="1" s="1"/>
  <c r="J13" i="1"/>
  <c r="L13" i="1" s="1"/>
  <c r="J14" i="1"/>
  <c r="L14" i="1" s="1"/>
  <c r="J15" i="1"/>
  <c r="L15" i="1" s="1"/>
  <c r="J16" i="1"/>
  <c r="L16" i="1" s="1"/>
  <c r="J17" i="1"/>
  <c r="L17" i="1" s="1"/>
  <c r="J18" i="1"/>
  <c r="L18" i="1" s="1"/>
  <c r="J19" i="1"/>
  <c r="L19" i="1" s="1"/>
  <c r="J20" i="1"/>
  <c r="L20" i="1" s="1"/>
  <c r="J21" i="1"/>
  <c r="L21" i="1" s="1"/>
  <c r="J22" i="1"/>
  <c r="L22" i="1" s="1"/>
  <c r="J23" i="1"/>
  <c r="L23" i="1" s="1"/>
  <c r="J24" i="1"/>
  <c r="L24" i="1" s="1"/>
  <c r="J25" i="1"/>
  <c r="L25" i="1" s="1"/>
  <c r="J26" i="1"/>
  <c r="L26" i="1" s="1"/>
  <c r="J27" i="1"/>
  <c r="L27" i="1" s="1"/>
  <c r="J28" i="1"/>
  <c r="L28" i="1" s="1"/>
  <c r="J29" i="1"/>
  <c r="L29" i="1" s="1"/>
  <c r="J30" i="1"/>
  <c r="L30" i="1" s="1"/>
  <c r="J31" i="1"/>
  <c r="L31" i="1" s="1"/>
  <c r="J32" i="1"/>
  <c r="L32" i="1" s="1"/>
  <c r="J33" i="1"/>
  <c r="L33" i="1" s="1"/>
  <c r="J34" i="1"/>
  <c r="L34" i="1" s="1"/>
  <c r="J35" i="1"/>
  <c r="L35" i="1" s="1"/>
  <c r="J36" i="1"/>
  <c r="L36" i="1" s="1"/>
  <c r="J37" i="1"/>
  <c r="L37" i="1" s="1"/>
  <c r="J38" i="1"/>
  <c r="L38" i="1" s="1"/>
  <c r="J39" i="1"/>
  <c r="L39" i="1" s="1"/>
  <c r="J40" i="1"/>
  <c r="L40" i="1" s="1"/>
  <c r="J41" i="1"/>
  <c r="L41" i="1" s="1"/>
  <c r="J42" i="1"/>
  <c r="L42" i="1" s="1"/>
  <c r="J43" i="1"/>
  <c r="L43" i="1" s="1"/>
  <c r="J44" i="1"/>
  <c r="L44" i="1" s="1"/>
  <c r="J45" i="1"/>
  <c r="L45" i="1" s="1"/>
  <c r="J46" i="1"/>
  <c r="L46" i="1" s="1"/>
  <c r="J47" i="1"/>
  <c r="L47" i="1" s="1"/>
  <c r="J48" i="1"/>
  <c r="L48" i="1" s="1"/>
  <c r="J49" i="1"/>
  <c r="L49" i="1" s="1"/>
  <c r="J50" i="1"/>
  <c r="L50" i="1" s="1"/>
  <c r="J51" i="1"/>
  <c r="L51" i="1" s="1"/>
  <c r="J52" i="1"/>
  <c r="L52" i="1" s="1"/>
  <c r="J53" i="1"/>
  <c r="L53" i="1" s="1"/>
  <c r="J54" i="1"/>
  <c r="L54" i="1" s="1"/>
  <c r="J55" i="1"/>
  <c r="L55" i="1" s="1"/>
  <c r="J56" i="1"/>
  <c r="L56" i="1" s="1"/>
  <c r="J57" i="1"/>
  <c r="L57" i="1" s="1"/>
  <c r="J58" i="1"/>
  <c r="L58" i="1" s="1"/>
  <c r="J59" i="1"/>
  <c r="L59" i="1" s="1"/>
  <c r="J60" i="1"/>
  <c r="L60" i="1" s="1"/>
  <c r="J61" i="1"/>
  <c r="L61" i="1" s="1"/>
  <c r="J62" i="1"/>
  <c r="L62" i="1" s="1"/>
  <c r="J63" i="1"/>
  <c r="L63" i="1" s="1"/>
  <c r="J64" i="1"/>
  <c r="L64" i="1" s="1"/>
  <c r="J65" i="1"/>
  <c r="L65" i="1" s="1"/>
  <c r="J66" i="1"/>
  <c r="L66" i="1" s="1"/>
  <c r="J67" i="1"/>
  <c r="L67" i="1" s="1"/>
  <c r="J68" i="1"/>
  <c r="L68" i="1" s="1"/>
  <c r="J69" i="1"/>
  <c r="L69" i="1" s="1"/>
  <c r="J70" i="1"/>
  <c r="L70" i="1" s="1"/>
  <c r="J71" i="1"/>
  <c r="L71" i="1" s="1"/>
  <c r="J72" i="1"/>
  <c r="L72" i="1" s="1"/>
  <c r="J73" i="1"/>
  <c r="L73" i="1" s="1"/>
  <c r="J74" i="1"/>
  <c r="L74" i="1" s="1"/>
  <c r="J75" i="1"/>
  <c r="L75" i="1" s="1"/>
  <c r="J76" i="1"/>
  <c r="L76" i="1" s="1"/>
  <c r="J77" i="1"/>
  <c r="L77" i="1" s="1"/>
  <c r="J78" i="1"/>
  <c r="L78" i="1" s="1"/>
  <c r="J79" i="1"/>
  <c r="L79" i="1" s="1"/>
  <c r="J80" i="1"/>
  <c r="L80" i="1" s="1"/>
  <c r="J81" i="1"/>
  <c r="L81" i="1" s="1"/>
  <c r="J82" i="1"/>
  <c r="L82" i="1" s="1"/>
  <c r="J83" i="1"/>
  <c r="L83" i="1" s="1"/>
  <c r="J84" i="1"/>
  <c r="L84" i="1" s="1"/>
  <c r="J85" i="1"/>
  <c r="L85" i="1" s="1"/>
  <c r="J86" i="1"/>
  <c r="L86" i="1" s="1"/>
  <c r="J87" i="1"/>
  <c r="L87" i="1" s="1"/>
  <c r="J88" i="1"/>
  <c r="L88" i="1" s="1"/>
  <c r="J89" i="1"/>
  <c r="L89" i="1" s="1"/>
  <c r="J90" i="1"/>
  <c r="L90" i="1" s="1"/>
  <c r="J91" i="1"/>
  <c r="L91" i="1" s="1"/>
  <c r="J92" i="1"/>
  <c r="L92" i="1" s="1"/>
  <c r="J93" i="1"/>
  <c r="L93" i="1" s="1"/>
  <c r="J94" i="1"/>
  <c r="L94" i="1" s="1"/>
  <c r="J95" i="1"/>
  <c r="L95" i="1" s="1"/>
  <c r="J96" i="1"/>
  <c r="L96" i="1" s="1"/>
  <c r="J97" i="1"/>
  <c r="L97" i="1" s="1"/>
  <c r="J98" i="1"/>
  <c r="L98" i="1" s="1"/>
  <c r="J99" i="1"/>
  <c r="L99" i="1" s="1"/>
  <c r="J100" i="1"/>
  <c r="L100" i="1" s="1"/>
  <c r="J101" i="1"/>
  <c r="L101" i="1" s="1"/>
  <c r="J102" i="1"/>
  <c r="L102" i="1" s="1"/>
  <c r="J103" i="1"/>
  <c r="L103" i="1" s="1"/>
  <c r="J104" i="1"/>
  <c r="L104" i="1" s="1"/>
  <c r="J105" i="1"/>
  <c r="L105" i="1" s="1"/>
  <c r="J106" i="1"/>
  <c r="L106" i="1" s="1"/>
  <c r="J107" i="1"/>
  <c r="L107" i="1" s="1"/>
  <c r="J108" i="1"/>
  <c r="L108" i="1" s="1"/>
  <c r="J109" i="1"/>
  <c r="L109" i="1" s="1"/>
  <c r="J110" i="1"/>
  <c r="L110" i="1" s="1"/>
  <c r="J111" i="1"/>
  <c r="L111" i="1" s="1"/>
  <c r="J112" i="1"/>
  <c r="L112" i="1" s="1"/>
  <c r="J113" i="1"/>
  <c r="L113" i="1" s="1"/>
  <c r="J114" i="1"/>
  <c r="L114" i="1" s="1"/>
  <c r="J115" i="1"/>
  <c r="L115" i="1" s="1"/>
  <c r="J116" i="1"/>
  <c r="L116" i="1" s="1"/>
  <c r="J117" i="1"/>
  <c r="L117" i="1" s="1"/>
  <c r="J118" i="1"/>
  <c r="L118" i="1" s="1"/>
  <c r="J119" i="1"/>
  <c r="L119" i="1" s="1"/>
  <c r="J120" i="1"/>
  <c r="L120" i="1" s="1"/>
  <c r="J121" i="1"/>
  <c r="L121" i="1" s="1"/>
  <c r="J122" i="1"/>
  <c r="L122" i="1" s="1"/>
  <c r="J123" i="1"/>
  <c r="L123" i="1" s="1"/>
  <c r="J124" i="1"/>
  <c r="L124" i="1" s="1"/>
  <c r="J125" i="1"/>
  <c r="L125" i="1" s="1"/>
  <c r="J126" i="1"/>
  <c r="L126" i="1" s="1"/>
  <c r="J127" i="1"/>
  <c r="L127" i="1" s="1"/>
  <c r="J128" i="1"/>
  <c r="L128" i="1" s="1"/>
  <c r="J129" i="1"/>
  <c r="L129" i="1" s="1"/>
  <c r="J130" i="1"/>
  <c r="L130" i="1" s="1"/>
  <c r="J131" i="1"/>
  <c r="L131" i="1" s="1"/>
  <c r="J132" i="1"/>
  <c r="L132" i="1" s="1"/>
  <c r="J133" i="1"/>
  <c r="L133" i="1" s="1"/>
  <c r="J134" i="1"/>
  <c r="L134" i="1" s="1"/>
  <c r="J135" i="1"/>
  <c r="L135" i="1" s="1"/>
  <c r="J136" i="1"/>
  <c r="L136" i="1" s="1"/>
  <c r="J137" i="1"/>
  <c r="L137" i="1" s="1"/>
  <c r="J138" i="1"/>
  <c r="L138" i="1" s="1"/>
  <c r="J139" i="1"/>
  <c r="L139" i="1" s="1"/>
  <c r="J140" i="1"/>
  <c r="L140" i="1" s="1"/>
  <c r="J141" i="1"/>
  <c r="L141" i="1" s="1"/>
  <c r="J142" i="1"/>
  <c r="L142" i="1" s="1"/>
  <c r="J143" i="1"/>
  <c r="L143" i="1" s="1"/>
  <c r="J144" i="1"/>
  <c r="L144" i="1" s="1"/>
  <c r="J145" i="1"/>
  <c r="L145" i="1" s="1"/>
  <c r="J146" i="1"/>
  <c r="L146" i="1" s="1"/>
  <c r="J147" i="1"/>
  <c r="L147" i="1" s="1"/>
  <c r="J148" i="1"/>
  <c r="L148" i="1" s="1"/>
  <c r="J149" i="1"/>
  <c r="L149" i="1" s="1"/>
  <c r="J150" i="1"/>
  <c r="L150" i="1" s="1"/>
  <c r="J151" i="1"/>
  <c r="L151" i="1" s="1"/>
  <c r="J152" i="1"/>
  <c r="L152" i="1" s="1"/>
  <c r="J153" i="1"/>
  <c r="L153" i="1" s="1"/>
  <c r="J154" i="1"/>
  <c r="L154" i="1" s="1"/>
  <c r="J155" i="1"/>
  <c r="L155" i="1" s="1"/>
  <c r="J156" i="1"/>
  <c r="L156" i="1" s="1"/>
  <c r="J157" i="1"/>
  <c r="L157" i="1" s="1"/>
  <c r="J158" i="1"/>
  <c r="L158" i="1" s="1"/>
  <c r="J159" i="1"/>
  <c r="L159" i="1" s="1"/>
  <c r="J160" i="1"/>
  <c r="L160" i="1" s="1"/>
  <c r="J161" i="1"/>
  <c r="L161" i="1" s="1"/>
  <c r="J162" i="1"/>
  <c r="L162" i="1" s="1"/>
  <c r="J163" i="1"/>
  <c r="L163" i="1" s="1"/>
  <c r="J164" i="1"/>
  <c r="L164" i="1" s="1"/>
  <c r="J165" i="1"/>
  <c r="L165" i="1" s="1"/>
  <c r="J166" i="1"/>
  <c r="L166" i="1" s="1"/>
  <c r="J167" i="1"/>
  <c r="L167" i="1" s="1"/>
  <c r="J168" i="1"/>
  <c r="L168" i="1" s="1"/>
  <c r="J169" i="1"/>
  <c r="L169" i="1" s="1"/>
  <c r="J170" i="1"/>
  <c r="L170" i="1" s="1"/>
  <c r="J171" i="1"/>
  <c r="L171" i="1" s="1"/>
  <c r="J172" i="1"/>
  <c r="L172" i="1" s="1"/>
  <c r="J173" i="1"/>
  <c r="L173" i="1" s="1"/>
  <c r="J174" i="1"/>
  <c r="L174" i="1" s="1"/>
  <c r="J175" i="1"/>
  <c r="L175" i="1" s="1"/>
  <c r="J176" i="1"/>
  <c r="L176" i="1" s="1"/>
  <c r="J177" i="1"/>
  <c r="L177" i="1" s="1"/>
  <c r="J178" i="1"/>
  <c r="L178" i="1" s="1"/>
  <c r="J179" i="1"/>
  <c r="L179" i="1" s="1"/>
  <c r="J180" i="1"/>
  <c r="L180" i="1" s="1"/>
  <c r="J181" i="1"/>
  <c r="L181" i="1" s="1"/>
  <c r="J182" i="1"/>
  <c r="L182" i="1" s="1"/>
  <c r="J183" i="1"/>
  <c r="L183" i="1" s="1"/>
  <c r="J184" i="1"/>
  <c r="L184" i="1" s="1"/>
  <c r="J185" i="1"/>
  <c r="L185" i="1" s="1"/>
  <c r="J186" i="1"/>
  <c r="L186" i="1" s="1"/>
  <c r="J187" i="1"/>
  <c r="L187" i="1" s="1"/>
  <c r="J188" i="1"/>
  <c r="L188" i="1" s="1"/>
  <c r="J189" i="1"/>
  <c r="L189" i="1" s="1"/>
  <c r="J190" i="1"/>
  <c r="L190" i="1" s="1"/>
  <c r="J191" i="1"/>
  <c r="L191" i="1" s="1"/>
  <c r="J192" i="1"/>
  <c r="L192" i="1" s="1"/>
  <c r="J193" i="1"/>
  <c r="L193" i="1" s="1"/>
  <c r="J194" i="1"/>
  <c r="L194" i="1" s="1"/>
  <c r="J195" i="1"/>
  <c r="L195" i="1" s="1"/>
  <c r="J196" i="1"/>
  <c r="L196" i="1" s="1"/>
  <c r="J197" i="1"/>
  <c r="L197" i="1" s="1"/>
  <c r="J198" i="1"/>
  <c r="L198" i="1" s="1"/>
  <c r="J199" i="1"/>
  <c r="L199" i="1" s="1"/>
  <c r="J200" i="1"/>
  <c r="L200" i="1" s="1"/>
  <c r="J201" i="1"/>
  <c r="L201" i="1" s="1"/>
  <c r="J202" i="1"/>
  <c r="L202" i="1" s="1"/>
  <c r="J203" i="1"/>
  <c r="L203" i="1" s="1"/>
  <c r="J204" i="1"/>
  <c r="L204" i="1" s="1"/>
  <c r="J205" i="1"/>
  <c r="L205" i="1" s="1"/>
  <c r="J206" i="1"/>
  <c r="L206" i="1" s="1"/>
  <c r="J207" i="1"/>
  <c r="L207" i="1" s="1"/>
  <c r="J208" i="1"/>
  <c r="L208" i="1" s="1"/>
  <c r="J209" i="1"/>
  <c r="L209" i="1" s="1"/>
  <c r="J210" i="1"/>
  <c r="L210" i="1" s="1"/>
  <c r="J211" i="1"/>
  <c r="L211" i="1" s="1"/>
  <c r="J212" i="1"/>
  <c r="L212" i="1" s="1"/>
  <c r="J213" i="1"/>
  <c r="L213" i="1" s="1"/>
  <c r="J214" i="1"/>
  <c r="L214" i="1" s="1"/>
  <c r="J215" i="1"/>
  <c r="L215" i="1" s="1"/>
  <c r="J216" i="1"/>
  <c r="L216" i="1" s="1"/>
  <c r="J217" i="1"/>
  <c r="L217" i="1" s="1"/>
  <c r="J218" i="1"/>
  <c r="L218" i="1" s="1"/>
  <c r="J219" i="1"/>
  <c r="L219" i="1" s="1"/>
  <c r="J220" i="1"/>
  <c r="L220" i="1" s="1"/>
  <c r="J221" i="1"/>
  <c r="L221" i="1" s="1"/>
  <c r="J222" i="1"/>
  <c r="L222" i="1" s="1"/>
  <c r="J223" i="1"/>
  <c r="L223" i="1" s="1"/>
  <c r="J224" i="1"/>
  <c r="L224" i="1" s="1"/>
  <c r="J225" i="1"/>
  <c r="L225" i="1" s="1"/>
  <c r="J226" i="1"/>
  <c r="L226" i="1" s="1"/>
  <c r="J227" i="1"/>
  <c r="L227" i="1" s="1"/>
  <c r="J228" i="1"/>
  <c r="L228" i="1" s="1"/>
  <c r="J229" i="1"/>
  <c r="L229" i="1" s="1"/>
  <c r="J230" i="1"/>
  <c r="L230" i="1" s="1"/>
  <c r="J231" i="1"/>
  <c r="L231" i="1" s="1"/>
  <c r="J232" i="1"/>
  <c r="L232" i="1" s="1"/>
  <c r="J233" i="1"/>
  <c r="L233" i="1" s="1"/>
  <c r="J234" i="1"/>
  <c r="L234" i="1" s="1"/>
  <c r="J235" i="1"/>
  <c r="L235" i="1" s="1"/>
  <c r="J236" i="1"/>
  <c r="L236" i="1" s="1"/>
  <c r="J237" i="1"/>
  <c r="L237" i="1" s="1"/>
  <c r="J238" i="1"/>
  <c r="L238" i="1" s="1"/>
  <c r="J239" i="1"/>
  <c r="L239" i="1" s="1"/>
  <c r="J240" i="1"/>
  <c r="L240" i="1" s="1"/>
  <c r="J241" i="1"/>
  <c r="L241" i="1" s="1"/>
  <c r="J242" i="1"/>
  <c r="L242" i="1" s="1"/>
  <c r="J243" i="1"/>
  <c r="L243" i="1" s="1"/>
  <c r="J244" i="1"/>
  <c r="L244" i="1" s="1"/>
  <c r="J245" i="1"/>
  <c r="L245" i="1" s="1"/>
  <c r="J246" i="1"/>
  <c r="L246" i="1" s="1"/>
  <c r="J247" i="1"/>
  <c r="L247" i="1" s="1"/>
  <c r="J248" i="1"/>
  <c r="L248" i="1" s="1"/>
  <c r="J249" i="1"/>
  <c r="L249" i="1" s="1"/>
  <c r="J250" i="1"/>
  <c r="L250" i="1" s="1"/>
  <c r="J251" i="1"/>
  <c r="L251" i="1" s="1"/>
  <c r="J252" i="1"/>
  <c r="L252" i="1" s="1"/>
  <c r="J253" i="1"/>
  <c r="L253" i="1" s="1"/>
  <c r="J254" i="1"/>
  <c r="L254" i="1" s="1"/>
  <c r="J255" i="1"/>
  <c r="L255" i="1" s="1"/>
  <c r="J256" i="1"/>
  <c r="L256" i="1" s="1"/>
  <c r="J257" i="1"/>
  <c r="L257" i="1" s="1"/>
  <c r="J258" i="1"/>
  <c r="L258" i="1" s="1"/>
  <c r="J259" i="1"/>
  <c r="L259" i="1" s="1"/>
  <c r="J260" i="1"/>
  <c r="L260" i="1" s="1"/>
  <c r="J261" i="1"/>
  <c r="L261" i="1" s="1"/>
  <c r="J262" i="1"/>
  <c r="L262" i="1" s="1"/>
  <c r="J263" i="1"/>
  <c r="L263" i="1" s="1"/>
  <c r="J264" i="1"/>
  <c r="L264" i="1" s="1"/>
  <c r="J265" i="1"/>
  <c r="L265" i="1" s="1"/>
  <c r="J266" i="1"/>
  <c r="L266" i="1" s="1"/>
  <c r="J267" i="1"/>
  <c r="L267" i="1" s="1"/>
  <c r="J268" i="1"/>
  <c r="L268" i="1" s="1"/>
  <c r="J269" i="1"/>
  <c r="L269" i="1" s="1"/>
  <c r="J270" i="1"/>
  <c r="L270" i="1" s="1"/>
  <c r="J271" i="1"/>
  <c r="L271" i="1" s="1"/>
  <c r="J272" i="1"/>
  <c r="L272" i="1" s="1"/>
  <c r="J273" i="1"/>
  <c r="L273" i="1" s="1"/>
  <c r="J274" i="1"/>
  <c r="L274" i="1" s="1"/>
  <c r="J275" i="1"/>
  <c r="L275" i="1" s="1"/>
  <c r="J276" i="1"/>
  <c r="L276" i="1" s="1"/>
  <c r="J277" i="1"/>
  <c r="L277" i="1" s="1"/>
  <c r="J278" i="1"/>
  <c r="L278" i="1" s="1"/>
  <c r="J279" i="1"/>
  <c r="L279" i="1" s="1"/>
  <c r="J280" i="1"/>
  <c r="L280" i="1" s="1"/>
  <c r="J281" i="1"/>
  <c r="L281" i="1" s="1"/>
  <c r="J282" i="1"/>
  <c r="L282" i="1" s="1"/>
  <c r="J283" i="1"/>
  <c r="L283" i="1" s="1"/>
  <c r="J284" i="1"/>
  <c r="L284" i="1" s="1"/>
  <c r="J285" i="1"/>
  <c r="L285" i="1" s="1"/>
  <c r="J286" i="1"/>
  <c r="L286" i="1" s="1"/>
  <c r="J287" i="1"/>
  <c r="L287" i="1" s="1"/>
  <c r="J288" i="1"/>
  <c r="L288" i="1" s="1"/>
  <c r="J289" i="1"/>
  <c r="L289" i="1" s="1"/>
  <c r="J290" i="1"/>
  <c r="L290" i="1" s="1"/>
  <c r="J291" i="1"/>
  <c r="L291" i="1" s="1"/>
  <c r="J292" i="1"/>
  <c r="L292" i="1" s="1"/>
  <c r="J293" i="1"/>
  <c r="L293" i="1" s="1"/>
  <c r="J294" i="1"/>
  <c r="L294" i="1" s="1"/>
  <c r="J295" i="1"/>
  <c r="L295" i="1" s="1"/>
  <c r="J296" i="1"/>
  <c r="L296" i="1" s="1"/>
  <c r="J297" i="1"/>
  <c r="L297" i="1" s="1"/>
  <c r="J298" i="1"/>
  <c r="L298" i="1" s="1"/>
  <c r="J299" i="1"/>
  <c r="L299" i="1" s="1"/>
  <c r="J300" i="1"/>
  <c r="L300" i="1" s="1"/>
  <c r="J301" i="1"/>
  <c r="L301" i="1" s="1"/>
  <c r="J302" i="1"/>
  <c r="L302" i="1" s="1"/>
  <c r="J303" i="1"/>
  <c r="L303" i="1" s="1"/>
  <c r="J304" i="1"/>
  <c r="L304" i="1" s="1"/>
  <c r="J305" i="1"/>
  <c r="L305" i="1" s="1"/>
  <c r="J306" i="1"/>
  <c r="L306" i="1" s="1"/>
  <c r="J307" i="1"/>
  <c r="L307" i="1" s="1"/>
  <c r="J308" i="1"/>
  <c r="L308" i="1" s="1"/>
  <c r="J309" i="1"/>
  <c r="L309" i="1" s="1"/>
  <c r="J310" i="1"/>
  <c r="L310" i="1" s="1"/>
  <c r="J311" i="1"/>
  <c r="L311" i="1" s="1"/>
  <c r="J312" i="1"/>
  <c r="L312" i="1" s="1"/>
  <c r="J313" i="1"/>
  <c r="L313" i="1" s="1"/>
  <c r="J314" i="1"/>
  <c r="L314" i="1" s="1"/>
  <c r="J315" i="1"/>
  <c r="L315" i="1" s="1"/>
  <c r="J316" i="1"/>
  <c r="L316" i="1" s="1"/>
  <c r="J317" i="1"/>
  <c r="L317" i="1" s="1"/>
  <c r="J318" i="1"/>
  <c r="L318" i="1" s="1"/>
  <c r="J319" i="1"/>
  <c r="L319" i="1" s="1"/>
  <c r="J320" i="1"/>
  <c r="L320" i="1" s="1"/>
  <c r="J321" i="1"/>
  <c r="L321" i="1" s="1"/>
  <c r="J322" i="1"/>
  <c r="L322" i="1" s="1"/>
  <c r="J323" i="1"/>
  <c r="L323" i="1" s="1"/>
  <c r="J324" i="1"/>
  <c r="L324" i="1" s="1"/>
  <c r="J325" i="1"/>
  <c r="L325" i="1" s="1"/>
  <c r="J326" i="1"/>
  <c r="L326" i="1" s="1"/>
  <c r="J327" i="1"/>
  <c r="L327" i="1" s="1"/>
  <c r="J328" i="1"/>
  <c r="L328" i="1" s="1"/>
  <c r="J329" i="1"/>
  <c r="L329" i="1" s="1"/>
  <c r="J330" i="1"/>
  <c r="L330" i="1" s="1"/>
  <c r="J331" i="1"/>
  <c r="L331" i="1" s="1"/>
  <c r="J332" i="1"/>
  <c r="L332" i="1" s="1"/>
  <c r="J333" i="1"/>
  <c r="L333" i="1" s="1"/>
  <c r="J334" i="1"/>
  <c r="L334" i="1" s="1"/>
  <c r="J335" i="1"/>
  <c r="L335" i="1" s="1"/>
  <c r="J336" i="1"/>
  <c r="L336" i="1" s="1"/>
  <c r="J337" i="1"/>
  <c r="L337" i="1" s="1"/>
  <c r="J338" i="1"/>
  <c r="L338" i="1" s="1"/>
  <c r="J339" i="1"/>
  <c r="L339" i="1" s="1"/>
  <c r="J340" i="1"/>
  <c r="L340" i="1" s="1"/>
  <c r="J341" i="1"/>
  <c r="L341" i="1" s="1"/>
  <c r="J342" i="1"/>
  <c r="L342" i="1" s="1"/>
  <c r="J343" i="1"/>
  <c r="L343" i="1" s="1"/>
  <c r="J344" i="1"/>
  <c r="L344" i="1" s="1"/>
  <c r="J345" i="1"/>
  <c r="L345" i="1" s="1"/>
  <c r="J346" i="1"/>
  <c r="L346" i="1" s="1"/>
  <c r="J347" i="1"/>
  <c r="L347" i="1" s="1"/>
  <c r="J348" i="1"/>
  <c r="L348" i="1" s="1"/>
  <c r="J349" i="1"/>
  <c r="L349" i="1" s="1"/>
  <c r="J350" i="1"/>
  <c r="L350" i="1" s="1"/>
  <c r="J351" i="1"/>
  <c r="L351" i="1" s="1"/>
  <c r="J352" i="1"/>
  <c r="L352" i="1" s="1"/>
  <c r="J353" i="1"/>
  <c r="L353" i="1" s="1"/>
  <c r="J354" i="1"/>
  <c r="L354" i="1" s="1"/>
  <c r="J355" i="1"/>
  <c r="L355" i="1" s="1"/>
  <c r="J356" i="1"/>
  <c r="L356" i="1" s="1"/>
  <c r="J357" i="1"/>
  <c r="L357" i="1" s="1"/>
  <c r="J358" i="1"/>
  <c r="L358" i="1" s="1"/>
  <c r="J359" i="1"/>
  <c r="L359" i="1" s="1"/>
  <c r="J360" i="1"/>
  <c r="L360" i="1" s="1"/>
  <c r="J361" i="1"/>
  <c r="L361" i="1" s="1"/>
  <c r="J362" i="1"/>
  <c r="L362" i="1" s="1"/>
  <c r="J363" i="1"/>
  <c r="L363" i="1" s="1"/>
  <c r="J364" i="1"/>
  <c r="L364" i="1" s="1"/>
  <c r="J365" i="1"/>
  <c r="L365" i="1" s="1"/>
  <c r="J366" i="1"/>
  <c r="L366" i="1" s="1"/>
  <c r="J367" i="1"/>
  <c r="L367" i="1" s="1"/>
  <c r="J368" i="1"/>
  <c r="L368" i="1" s="1"/>
  <c r="J369" i="1"/>
  <c r="L369" i="1" s="1"/>
  <c r="J370" i="1"/>
  <c r="L370" i="1" s="1"/>
  <c r="J371" i="1"/>
  <c r="L371" i="1" s="1"/>
  <c r="J372" i="1"/>
  <c r="L372" i="1" s="1"/>
  <c r="J373" i="1"/>
  <c r="L373" i="1" s="1"/>
  <c r="J374" i="1"/>
  <c r="L374" i="1" s="1"/>
  <c r="J375" i="1"/>
  <c r="L375" i="1" s="1"/>
  <c r="J376" i="1"/>
  <c r="L376" i="1" s="1"/>
  <c r="J377" i="1"/>
  <c r="L377" i="1" s="1"/>
  <c r="J378" i="1"/>
  <c r="L378" i="1" s="1"/>
  <c r="J379" i="1"/>
  <c r="L379" i="1" s="1"/>
  <c r="J380" i="1"/>
  <c r="L380" i="1" s="1"/>
  <c r="J381" i="1"/>
  <c r="L381" i="1" s="1"/>
  <c r="J382" i="1"/>
  <c r="L382" i="1" s="1"/>
  <c r="J383" i="1"/>
  <c r="L383" i="1" s="1"/>
  <c r="J384" i="1"/>
  <c r="L384" i="1" s="1"/>
  <c r="J385" i="1"/>
  <c r="L385" i="1" s="1"/>
  <c r="J386" i="1"/>
  <c r="L386" i="1" s="1"/>
  <c r="J387" i="1"/>
  <c r="L387" i="1" s="1"/>
  <c r="J388" i="1"/>
  <c r="L388" i="1" s="1"/>
  <c r="J389" i="1"/>
  <c r="L389" i="1" s="1"/>
  <c r="J390" i="1"/>
  <c r="L390" i="1" s="1"/>
  <c r="J391" i="1"/>
  <c r="L391" i="1" s="1"/>
  <c r="J392" i="1"/>
  <c r="L392" i="1" s="1"/>
  <c r="J393" i="1"/>
  <c r="L393" i="1" s="1"/>
  <c r="J394" i="1"/>
  <c r="L394" i="1" s="1"/>
  <c r="J395" i="1"/>
  <c r="L395" i="1" s="1"/>
  <c r="J396" i="1"/>
  <c r="L396" i="1" s="1"/>
  <c r="J397" i="1"/>
  <c r="L397" i="1" s="1"/>
  <c r="J398" i="1"/>
  <c r="L398" i="1" s="1"/>
  <c r="J399" i="1"/>
  <c r="L399" i="1" s="1"/>
  <c r="J400" i="1"/>
  <c r="L400" i="1" s="1"/>
  <c r="J401" i="1"/>
  <c r="L401" i="1" s="1"/>
  <c r="J402" i="1"/>
  <c r="L402" i="1" s="1"/>
  <c r="J403" i="1"/>
  <c r="L403" i="1" s="1"/>
  <c r="J404" i="1"/>
  <c r="L404" i="1" s="1"/>
  <c r="J405" i="1"/>
  <c r="L405" i="1" s="1"/>
  <c r="J406" i="1"/>
  <c r="L406" i="1" s="1"/>
  <c r="J407" i="1"/>
  <c r="L407" i="1" s="1"/>
  <c r="J408" i="1"/>
  <c r="L408" i="1" s="1"/>
  <c r="J409" i="1"/>
  <c r="L409" i="1" s="1"/>
  <c r="J410" i="1"/>
  <c r="L410" i="1" s="1"/>
  <c r="J411" i="1"/>
  <c r="L411" i="1" s="1"/>
  <c r="J412" i="1"/>
  <c r="L412" i="1" s="1"/>
  <c r="J413" i="1"/>
  <c r="L413" i="1" s="1"/>
  <c r="J414" i="1"/>
  <c r="L414" i="1" s="1"/>
  <c r="J415" i="1"/>
  <c r="L415" i="1" s="1"/>
  <c r="J416" i="1"/>
  <c r="L416" i="1" s="1"/>
  <c r="J417" i="1"/>
  <c r="L417" i="1" s="1"/>
  <c r="J418" i="1"/>
  <c r="L418" i="1" s="1"/>
  <c r="J419" i="1"/>
  <c r="L419" i="1" s="1"/>
  <c r="J420" i="1"/>
  <c r="L420" i="1" s="1"/>
  <c r="J421" i="1"/>
  <c r="L421" i="1" s="1"/>
  <c r="J422" i="1"/>
  <c r="L422" i="1" s="1"/>
  <c r="J423" i="1"/>
  <c r="L423" i="1" s="1"/>
  <c r="J424" i="1"/>
  <c r="L424" i="1" s="1"/>
  <c r="J425" i="1"/>
  <c r="L425" i="1" s="1"/>
  <c r="J426" i="1"/>
  <c r="L426" i="1" s="1"/>
  <c r="J427" i="1"/>
  <c r="L427" i="1" s="1"/>
  <c r="J428" i="1"/>
  <c r="L428" i="1" s="1"/>
  <c r="J429" i="1"/>
  <c r="L429" i="1" s="1"/>
  <c r="J430" i="1"/>
  <c r="L430" i="1" s="1"/>
  <c r="J431" i="1"/>
  <c r="L431" i="1" s="1"/>
  <c r="J432" i="1"/>
  <c r="L432" i="1" s="1"/>
  <c r="J433" i="1"/>
  <c r="L433" i="1" s="1"/>
  <c r="J434" i="1"/>
  <c r="L434" i="1" s="1"/>
  <c r="J435" i="1"/>
  <c r="L435" i="1" s="1"/>
  <c r="J436" i="1"/>
  <c r="L436" i="1" s="1"/>
  <c r="J437" i="1"/>
  <c r="L437" i="1" s="1"/>
  <c r="J438" i="1"/>
  <c r="L438" i="1" s="1"/>
  <c r="J439" i="1"/>
  <c r="L439" i="1" s="1"/>
  <c r="J440" i="1"/>
  <c r="L440" i="1" s="1"/>
  <c r="J441" i="1"/>
  <c r="L441" i="1" s="1"/>
  <c r="J442" i="1"/>
  <c r="L442" i="1" s="1"/>
  <c r="J443" i="1"/>
  <c r="L443" i="1" s="1"/>
  <c r="J444" i="1"/>
  <c r="L444" i="1" s="1"/>
  <c r="J445" i="1"/>
  <c r="L445" i="1" s="1"/>
  <c r="J446" i="1"/>
  <c r="L446" i="1" s="1"/>
  <c r="J447" i="1"/>
  <c r="L447" i="1" s="1"/>
  <c r="J448" i="1"/>
  <c r="L448" i="1" s="1"/>
  <c r="J449" i="1"/>
  <c r="L449" i="1" s="1"/>
  <c r="J450" i="1"/>
  <c r="L450" i="1" s="1"/>
  <c r="J451" i="1"/>
  <c r="L451" i="1" s="1"/>
  <c r="J452" i="1"/>
  <c r="L452" i="1" s="1"/>
  <c r="J453" i="1"/>
  <c r="L453" i="1" s="1"/>
  <c r="J454" i="1"/>
  <c r="L454" i="1" s="1"/>
  <c r="J455" i="1"/>
  <c r="L455" i="1" s="1"/>
  <c r="J456" i="1"/>
  <c r="L456" i="1" s="1"/>
  <c r="J457" i="1"/>
  <c r="L457" i="1" s="1"/>
  <c r="J458" i="1"/>
  <c r="L458" i="1" s="1"/>
  <c r="J459" i="1"/>
  <c r="L459" i="1" s="1"/>
  <c r="J460" i="1"/>
  <c r="L460" i="1" s="1"/>
  <c r="J461" i="1"/>
  <c r="L461" i="1" s="1"/>
  <c r="J462" i="1"/>
  <c r="L462" i="1" s="1"/>
  <c r="J463" i="1"/>
  <c r="L463" i="1" s="1"/>
  <c r="J464" i="1"/>
  <c r="L464" i="1" s="1"/>
  <c r="J465" i="1"/>
  <c r="L465" i="1" s="1"/>
  <c r="J466" i="1"/>
  <c r="L466" i="1" s="1"/>
  <c r="J467" i="1"/>
  <c r="L467" i="1" s="1"/>
  <c r="J468" i="1"/>
  <c r="L468" i="1" s="1"/>
  <c r="J469" i="1"/>
  <c r="L469" i="1" s="1"/>
  <c r="J470" i="1"/>
  <c r="L470" i="1" s="1"/>
  <c r="J471" i="1"/>
  <c r="L471" i="1" s="1"/>
  <c r="J472" i="1"/>
  <c r="L472" i="1" s="1"/>
  <c r="J473" i="1"/>
  <c r="L473" i="1" s="1"/>
  <c r="J474" i="1"/>
  <c r="L474" i="1" s="1"/>
  <c r="J475" i="1"/>
  <c r="L475" i="1" s="1"/>
  <c r="J476" i="1"/>
  <c r="L476" i="1" s="1"/>
  <c r="J477" i="1"/>
  <c r="L477" i="1" s="1"/>
  <c r="J478" i="1"/>
  <c r="L478" i="1" s="1"/>
  <c r="J479" i="1"/>
  <c r="L479" i="1" s="1"/>
  <c r="J480" i="1"/>
  <c r="L480" i="1" s="1"/>
  <c r="J481" i="1"/>
  <c r="L481" i="1" s="1"/>
  <c r="J482" i="1"/>
  <c r="L482" i="1" s="1"/>
  <c r="J483" i="1"/>
  <c r="L483" i="1" s="1"/>
  <c r="J484" i="1"/>
  <c r="L484" i="1" s="1"/>
  <c r="J485" i="1"/>
  <c r="L485" i="1" s="1"/>
  <c r="J486" i="1"/>
  <c r="L486" i="1" s="1"/>
  <c r="J487" i="1"/>
  <c r="L487" i="1" s="1"/>
  <c r="J488" i="1"/>
  <c r="L488" i="1" s="1"/>
  <c r="J489" i="1"/>
  <c r="L489" i="1" s="1"/>
  <c r="J490" i="1"/>
  <c r="L490" i="1" s="1"/>
  <c r="J491" i="1"/>
  <c r="L491" i="1" s="1"/>
  <c r="J492" i="1"/>
  <c r="L492" i="1" s="1"/>
  <c r="J493" i="1"/>
  <c r="L493" i="1" s="1"/>
  <c r="J494" i="1"/>
  <c r="L494" i="1" s="1"/>
  <c r="J495" i="1"/>
  <c r="L495" i="1" s="1"/>
  <c r="J496" i="1"/>
  <c r="L496" i="1" s="1"/>
  <c r="J497" i="1"/>
  <c r="L497" i="1" s="1"/>
  <c r="J498" i="1"/>
  <c r="L498" i="1" s="1"/>
  <c r="J499" i="1"/>
  <c r="L499" i="1" s="1"/>
  <c r="J500" i="1"/>
  <c r="L500" i="1" s="1"/>
  <c r="J501" i="1"/>
  <c r="L501" i="1" s="1"/>
  <c r="J502" i="1"/>
  <c r="L502" i="1" s="1"/>
  <c r="J503" i="1"/>
  <c r="L503" i="1" s="1"/>
  <c r="J504" i="1"/>
  <c r="L504" i="1" s="1"/>
  <c r="J505" i="1"/>
  <c r="L505" i="1" s="1"/>
  <c r="J506" i="1"/>
  <c r="L506" i="1" s="1"/>
  <c r="J507" i="1"/>
  <c r="L507" i="1" s="1"/>
  <c r="J508" i="1"/>
  <c r="L508" i="1" s="1"/>
  <c r="J509" i="1"/>
  <c r="L509" i="1" s="1"/>
  <c r="J510" i="1"/>
  <c r="L510" i="1" s="1"/>
  <c r="J511" i="1"/>
  <c r="L511" i="1" s="1"/>
  <c r="J512" i="1"/>
  <c r="L512" i="1" s="1"/>
  <c r="J513" i="1"/>
  <c r="L513" i="1" s="1"/>
  <c r="J514" i="1"/>
  <c r="L514" i="1" s="1"/>
  <c r="J515" i="1"/>
  <c r="L515" i="1" s="1"/>
  <c r="J516" i="1"/>
  <c r="L516" i="1" s="1"/>
  <c r="J517" i="1"/>
  <c r="L517" i="1" s="1"/>
  <c r="J518" i="1"/>
  <c r="L518" i="1" s="1"/>
  <c r="J519" i="1"/>
  <c r="L519" i="1" s="1"/>
  <c r="J520" i="1"/>
  <c r="L520" i="1" s="1"/>
  <c r="J521" i="1"/>
  <c r="L521" i="1" s="1"/>
  <c r="J522" i="1"/>
  <c r="L522" i="1" s="1"/>
  <c r="J523" i="1"/>
  <c r="L523" i="1" s="1"/>
  <c r="J524" i="1"/>
  <c r="L524" i="1" s="1"/>
  <c r="J525" i="1"/>
  <c r="L525" i="1" s="1"/>
  <c r="J526" i="1"/>
  <c r="L526" i="1" s="1"/>
  <c r="J527" i="1"/>
  <c r="L527" i="1" s="1"/>
  <c r="J528" i="1"/>
  <c r="L528" i="1" s="1"/>
  <c r="J529" i="1"/>
  <c r="L529" i="1" s="1"/>
  <c r="J530" i="1"/>
  <c r="L530" i="1" s="1"/>
  <c r="J531" i="1"/>
  <c r="L531" i="1" s="1"/>
  <c r="J532" i="1"/>
  <c r="L532" i="1" s="1"/>
  <c r="J533" i="1"/>
  <c r="L533" i="1" s="1"/>
  <c r="J534" i="1"/>
  <c r="L534" i="1" s="1"/>
  <c r="J535" i="1"/>
  <c r="L535" i="1" s="1"/>
  <c r="J536" i="1"/>
  <c r="L536" i="1" s="1"/>
  <c r="J537" i="1"/>
  <c r="L537" i="1" s="1"/>
  <c r="J538" i="1"/>
  <c r="L538" i="1" s="1"/>
  <c r="J539" i="1"/>
  <c r="L539" i="1" s="1"/>
  <c r="J540" i="1"/>
  <c r="L540" i="1" s="1"/>
  <c r="J541" i="1"/>
  <c r="L541" i="1" s="1"/>
  <c r="J542" i="1"/>
  <c r="L542" i="1" s="1"/>
  <c r="J543" i="1"/>
  <c r="L543" i="1" s="1"/>
  <c r="J544" i="1"/>
  <c r="L544" i="1" s="1"/>
  <c r="J545" i="1"/>
  <c r="L545" i="1" s="1"/>
  <c r="J546" i="1"/>
  <c r="L546" i="1" s="1"/>
  <c r="J547" i="1"/>
  <c r="L547" i="1" s="1"/>
  <c r="J548" i="1"/>
  <c r="L548" i="1" s="1"/>
  <c r="J549" i="1"/>
  <c r="L549" i="1" s="1"/>
  <c r="J550" i="1"/>
  <c r="L550" i="1" s="1"/>
  <c r="J551" i="1"/>
  <c r="L551" i="1" s="1"/>
  <c r="J552" i="1"/>
  <c r="L552" i="1" s="1"/>
  <c r="J553" i="1"/>
  <c r="L553" i="1" s="1"/>
  <c r="J554" i="1"/>
  <c r="L554" i="1" s="1"/>
  <c r="J555" i="1"/>
  <c r="L555" i="1" s="1"/>
  <c r="J556" i="1"/>
  <c r="L556" i="1" s="1"/>
  <c r="J557" i="1"/>
  <c r="L557" i="1" s="1"/>
  <c r="J558" i="1"/>
  <c r="L558" i="1" s="1"/>
  <c r="J559" i="1"/>
  <c r="L559" i="1" s="1"/>
  <c r="J560" i="1"/>
  <c r="L560" i="1" s="1"/>
  <c r="J561" i="1"/>
  <c r="L561" i="1" s="1"/>
  <c r="J562" i="1"/>
  <c r="L562" i="1" s="1"/>
  <c r="J563" i="1"/>
  <c r="L563" i="1" s="1"/>
  <c r="J564" i="1"/>
  <c r="L564" i="1" s="1"/>
  <c r="J565" i="1"/>
  <c r="L565" i="1" s="1"/>
  <c r="J566" i="1"/>
  <c r="L566" i="1" s="1"/>
  <c r="J567" i="1"/>
  <c r="L567" i="1" s="1"/>
  <c r="J568" i="1"/>
  <c r="L568" i="1" s="1"/>
  <c r="J569" i="1"/>
  <c r="L569" i="1" s="1"/>
  <c r="J570" i="1"/>
  <c r="L570" i="1" s="1"/>
  <c r="J571" i="1"/>
  <c r="L571" i="1" s="1"/>
  <c r="J572" i="1"/>
  <c r="L572" i="1" s="1"/>
  <c r="J573" i="1"/>
  <c r="L573" i="1" s="1"/>
  <c r="J574" i="1"/>
  <c r="L574" i="1" s="1"/>
  <c r="J575" i="1"/>
  <c r="L575" i="1" s="1"/>
  <c r="J576" i="1"/>
  <c r="L576" i="1" s="1"/>
  <c r="J577" i="1"/>
  <c r="L577" i="1" s="1"/>
  <c r="J578" i="1"/>
  <c r="L578" i="1" s="1"/>
  <c r="J579" i="1"/>
  <c r="L579" i="1" s="1"/>
  <c r="J580" i="1"/>
  <c r="L580" i="1" s="1"/>
  <c r="J581" i="1"/>
  <c r="L581" i="1" s="1"/>
  <c r="J582" i="1"/>
  <c r="L582" i="1" s="1"/>
  <c r="J583" i="1"/>
  <c r="L583" i="1" s="1"/>
  <c r="J584" i="1"/>
  <c r="L584" i="1" s="1"/>
  <c r="J585" i="1"/>
  <c r="L585" i="1" s="1"/>
  <c r="J586" i="1"/>
  <c r="L586" i="1" s="1"/>
  <c r="J587" i="1"/>
  <c r="L587" i="1" s="1"/>
  <c r="J588" i="1"/>
  <c r="L588" i="1" s="1"/>
  <c r="J589" i="1"/>
  <c r="L589" i="1" s="1"/>
  <c r="J590" i="1"/>
  <c r="L590" i="1" s="1"/>
  <c r="J591" i="1"/>
  <c r="L591" i="1" s="1"/>
  <c r="J592" i="1"/>
  <c r="L592" i="1" s="1"/>
  <c r="J593" i="1"/>
  <c r="L593" i="1" s="1"/>
  <c r="J594" i="1"/>
  <c r="L594" i="1" s="1"/>
  <c r="J595" i="1"/>
  <c r="L595" i="1" s="1"/>
  <c r="J596" i="1"/>
  <c r="L596" i="1" s="1"/>
  <c r="J597" i="1"/>
  <c r="L597" i="1" s="1"/>
  <c r="J598" i="1"/>
  <c r="L598" i="1" s="1"/>
  <c r="J599" i="1"/>
  <c r="L599" i="1" s="1"/>
  <c r="J600" i="1"/>
  <c r="L600" i="1" s="1"/>
  <c r="J601" i="1"/>
  <c r="L601" i="1" s="1"/>
  <c r="J602" i="1"/>
  <c r="L602" i="1" s="1"/>
  <c r="J603" i="1"/>
  <c r="L603" i="1" s="1"/>
  <c r="J604" i="1"/>
  <c r="L604" i="1" s="1"/>
  <c r="J605" i="1"/>
  <c r="L605" i="1" s="1"/>
  <c r="J606" i="1"/>
  <c r="L606" i="1" s="1"/>
  <c r="J607" i="1"/>
  <c r="L607" i="1" s="1"/>
  <c r="J608" i="1"/>
  <c r="L608" i="1" s="1"/>
  <c r="J609" i="1"/>
  <c r="L609" i="1" s="1"/>
  <c r="J610" i="1"/>
  <c r="L610" i="1" s="1"/>
  <c r="J611" i="1"/>
  <c r="L611" i="1" s="1"/>
  <c r="J612" i="1"/>
  <c r="L612" i="1" s="1"/>
  <c r="J613" i="1"/>
  <c r="L613" i="1" s="1"/>
  <c r="J614" i="1"/>
  <c r="L614" i="1" s="1"/>
  <c r="J615" i="1"/>
  <c r="L615" i="1" s="1"/>
  <c r="J616" i="1"/>
  <c r="L616" i="1" s="1"/>
  <c r="J617" i="1"/>
  <c r="L617" i="1" s="1"/>
  <c r="J618" i="1"/>
  <c r="L618" i="1" s="1"/>
  <c r="J619" i="1"/>
  <c r="L619" i="1" s="1"/>
  <c r="J620" i="1"/>
  <c r="L620" i="1" s="1"/>
  <c r="J621" i="1"/>
  <c r="L621" i="1" s="1"/>
  <c r="J622" i="1"/>
  <c r="L622" i="1" s="1"/>
  <c r="J623" i="1"/>
  <c r="L623" i="1" s="1"/>
  <c r="J624" i="1"/>
  <c r="L624" i="1" s="1"/>
  <c r="J625" i="1"/>
  <c r="L625" i="1" s="1"/>
  <c r="J626" i="1"/>
  <c r="L626" i="1" s="1"/>
  <c r="J627" i="1"/>
  <c r="L627" i="1" s="1"/>
  <c r="J628" i="1"/>
  <c r="L628" i="1" s="1"/>
  <c r="J629" i="1"/>
  <c r="L629" i="1" s="1"/>
  <c r="J630" i="1"/>
  <c r="L630" i="1" s="1"/>
  <c r="J631" i="1"/>
  <c r="L631" i="1" s="1"/>
  <c r="J632" i="1"/>
  <c r="L632" i="1" s="1"/>
  <c r="J633" i="1"/>
  <c r="L633" i="1" s="1"/>
  <c r="J634" i="1"/>
  <c r="L634" i="1" s="1"/>
  <c r="J635" i="1"/>
  <c r="L635" i="1" s="1"/>
  <c r="J636" i="1"/>
  <c r="L636" i="1" s="1"/>
  <c r="J637" i="1"/>
  <c r="L637" i="1" s="1"/>
  <c r="J638" i="1"/>
  <c r="L638" i="1" s="1"/>
  <c r="J639" i="1"/>
  <c r="L639" i="1" s="1"/>
  <c r="J640" i="1"/>
  <c r="L640" i="1" s="1"/>
  <c r="J641" i="1"/>
  <c r="L641" i="1" s="1"/>
  <c r="J642" i="1"/>
  <c r="L642" i="1" s="1"/>
  <c r="J643" i="1"/>
  <c r="L643" i="1" s="1"/>
  <c r="J644" i="1"/>
  <c r="L644" i="1" s="1"/>
  <c r="J645" i="1"/>
  <c r="L645" i="1" s="1"/>
  <c r="J646" i="1"/>
  <c r="L646" i="1" s="1"/>
  <c r="J647" i="1"/>
  <c r="L647" i="1" s="1"/>
  <c r="J648" i="1"/>
  <c r="L648" i="1" s="1"/>
  <c r="J649" i="1"/>
  <c r="L649" i="1" s="1"/>
  <c r="J650" i="1"/>
  <c r="L650" i="1" s="1"/>
  <c r="J651" i="1"/>
  <c r="L651" i="1" s="1"/>
  <c r="J2" i="1"/>
  <c r="L2" i="1"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2" i="1"/>
  <c r="A6" i="10"/>
  <c r="F6" i="10"/>
  <c r="P6" i="10"/>
  <c r="K6" i="10"/>
  <c r="O246" i="1" l="1"/>
  <c r="O222" i="1"/>
  <c r="O198" i="1"/>
  <c r="O150" i="1"/>
  <c r="O363" i="1"/>
  <c r="O315" i="1"/>
  <c r="O219" i="1"/>
  <c r="O159" i="1"/>
  <c r="O476" i="1"/>
  <c r="O452" i="1"/>
  <c r="O428" i="1"/>
  <c r="O404" i="1"/>
  <c r="O380" i="1"/>
  <c r="O356" i="1"/>
  <c r="O332" i="1"/>
  <c r="O308" i="1"/>
  <c r="O284" i="1"/>
  <c r="O260" i="1"/>
  <c r="O236" i="1"/>
  <c r="O212" i="1"/>
  <c r="O188" i="1"/>
  <c r="O164" i="1"/>
  <c r="O140" i="1"/>
  <c r="O116" i="1"/>
  <c r="O92" i="1"/>
  <c r="O68" i="1"/>
  <c r="O44" i="1"/>
  <c r="O245" i="1"/>
  <c r="O221" i="1"/>
  <c r="O197" i="1"/>
  <c r="O173" i="1"/>
  <c r="O149" i="1"/>
  <c r="O125" i="1"/>
  <c r="O101" i="1"/>
  <c r="O77" i="1"/>
  <c r="O53" i="1"/>
  <c r="O29" i="1"/>
  <c r="O326" i="1"/>
  <c r="O302" i="1"/>
  <c r="O358" i="1"/>
  <c r="O334" i="1"/>
  <c r="O310" i="1"/>
  <c r="O286" i="1"/>
  <c r="O262" i="1"/>
  <c r="O446" i="1"/>
  <c r="O422" i="1"/>
  <c r="O398" i="1"/>
  <c r="O374" i="1"/>
  <c r="O350" i="1"/>
  <c r="O443" i="1"/>
  <c r="O347" i="1"/>
  <c r="O323" i="1"/>
  <c r="O107" i="1"/>
  <c r="O83" i="1"/>
  <c r="O459" i="1"/>
  <c r="O435" i="1"/>
  <c r="M39" i="1"/>
  <c r="M27" i="1"/>
  <c r="M15" i="1"/>
  <c r="M3" i="1"/>
  <c r="M562" i="1"/>
  <c r="M418" i="1"/>
  <c r="M274" i="1"/>
  <c r="M130" i="1"/>
  <c r="O509" i="1"/>
  <c r="O485" i="1"/>
  <c r="O461" i="1"/>
  <c r="O437" i="1"/>
  <c r="O413" i="1"/>
  <c r="O389" i="1"/>
  <c r="O365" i="1"/>
  <c r="O341" i="1"/>
  <c r="O317" i="1"/>
  <c r="O293" i="1"/>
  <c r="O269" i="1"/>
  <c r="O637" i="1"/>
  <c r="O613" i="1"/>
  <c r="O589" i="1"/>
  <c r="O565" i="1"/>
  <c r="O541" i="1"/>
  <c r="O517" i="1"/>
  <c r="O493" i="1"/>
  <c r="O469" i="1"/>
  <c r="O445" i="1"/>
  <c r="O421" i="1"/>
  <c r="O397" i="1"/>
  <c r="O373" i="1"/>
  <c r="O349" i="1"/>
  <c r="O325" i="1"/>
  <c r="O301" i="1"/>
  <c r="O277" i="1"/>
  <c r="O253" i="1"/>
  <c r="O229" i="1"/>
  <c r="O205" i="1"/>
  <c r="O181" i="1"/>
  <c r="O157" i="1"/>
  <c r="O133" i="1"/>
  <c r="O109" i="1"/>
  <c r="O85" i="1"/>
  <c r="O61" i="1"/>
  <c r="O37" i="1"/>
  <c r="O13" i="1"/>
  <c r="O581" i="1"/>
  <c r="O557" i="1"/>
  <c r="O533" i="1"/>
  <c r="M65" i="1"/>
  <c r="M41" i="1"/>
  <c r="M17" i="1"/>
  <c r="O468" i="1"/>
  <c r="O444" i="1"/>
  <c r="O420" i="1"/>
  <c r="O396" i="1"/>
  <c r="O372" i="1"/>
  <c r="O348" i="1"/>
  <c r="O324" i="1"/>
  <c r="O300" i="1"/>
  <c r="O276" i="1"/>
  <c r="O252" i="1"/>
  <c r="O228" i="1"/>
  <c r="O204" i="1"/>
  <c r="O180" i="1"/>
  <c r="O156" i="1"/>
  <c r="O132" i="1"/>
  <c r="O108" i="1"/>
  <c r="O84" i="1"/>
  <c r="O60" i="1"/>
  <c r="O36" i="1"/>
  <c r="O12" i="1"/>
  <c r="M641" i="1"/>
  <c r="O629" i="1"/>
  <c r="M617" i="1"/>
  <c r="O605" i="1"/>
  <c r="M593" i="1"/>
  <c r="M569" i="1"/>
  <c r="M545" i="1"/>
  <c r="M521" i="1"/>
  <c r="M497" i="1"/>
  <c r="M473" i="1"/>
  <c r="M449" i="1"/>
  <c r="M425" i="1"/>
  <c r="M401" i="1"/>
  <c r="M377" i="1"/>
  <c r="M353" i="1"/>
  <c r="M329" i="1"/>
  <c r="M305" i="1"/>
  <c r="M281" i="1"/>
  <c r="M257" i="1"/>
  <c r="M233" i="1"/>
  <c r="M209" i="1"/>
  <c r="M185" i="1"/>
  <c r="M161" i="1"/>
  <c r="M137" i="1"/>
  <c r="M113" i="1"/>
  <c r="M89" i="1"/>
  <c r="M339" i="1"/>
  <c r="M327" i="1"/>
  <c r="M303" i="1"/>
  <c r="M291" i="1"/>
  <c r="M279" i="1"/>
  <c r="M267" i="1"/>
  <c r="M255" i="1"/>
  <c r="M243" i="1"/>
  <c r="M231" i="1"/>
  <c r="M207" i="1"/>
  <c r="M195" i="1"/>
  <c r="M183" i="1"/>
  <c r="M171" i="1"/>
  <c r="M147" i="1"/>
  <c r="M135" i="1"/>
  <c r="M123" i="1"/>
  <c r="M111" i="1"/>
  <c r="M87" i="1"/>
  <c r="M63" i="1"/>
  <c r="M646" i="1"/>
  <c r="M634" i="1"/>
  <c r="M622" i="1"/>
  <c r="M610" i="1"/>
  <c r="M598" i="1"/>
  <c r="M586" i="1"/>
  <c r="M574" i="1"/>
  <c r="M550" i="1"/>
  <c r="M538" i="1"/>
  <c r="M526" i="1"/>
  <c r="M514" i="1"/>
  <c r="M502" i="1"/>
  <c r="M490" i="1"/>
  <c r="M478" i="1"/>
  <c r="M466" i="1"/>
  <c r="M454" i="1"/>
  <c r="M442" i="1"/>
  <c r="M430" i="1"/>
  <c r="O406" i="1"/>
  <c r="M394" i="1"/>
  <c r="O382" i="1"/>
  <c r="M370" i="1"/>
  <c r="M346" i="1"/>
  <c r="M322" i="1"/>
  <c r="M298" i="1"/>
  <c r="M250" i="1"/>
  <c r="M238" i="1"/>
  <c r="M226" i="1"/>
  <c r="M202" i="1"/>
  <c r="M178" i="1"/>
  <c r="M154" i="1"/>
  <c r="M106" i="1"/>
  <c r="M82" i="1"/>
  <c r="M58" i="1"/>
  <c r="M34" i="1"/>
  <c r="M10" i="1"/>
  <c r="M640" i="1"/>
  <c r="M628" i="1"/>
  <c r="M616" i="1"/>
  <c r="M604" i="1"/>
  <c r="M592" i="1"/>
  <c r="M580" i="1"/>
  <c r="M568" i="1"/>
  <c r="M556" i="1"/>
  <c r="M544" i="1"/>
  <c r="M532" i="1"/>
  <c r="M520" i="1"/>
  <c r="M508" i="1"/>
  <c r="M496" i="1"/>
  <c r="O484" i="1"/>
  <c r="M472" i="1"/>
  <c r="O460" i="1"/>
  <c r="M448" i="1"/>
  <c r="O436" i="1"/>
  <c r="M424" i="1"/>
  <c r="O412" i="1"/>
  <c r="M400" i="1"/>
  <c r="O388" i="1"/>
  <c r="M376" i="1"/>
  <c r="M352" i="1"/>
  <c r="M328" i="1"/>
  <c r="M304" i="1"/>
  <c r="M280" i="1"/>
  <c r="M256" i="1"/>
  <c r="M232" i="1"/>
  <c r="M208" i="1"/>
  <c r="M184" i="1"/>
  <c r="M160" i="1"/>
  <c r="M136" i="1"/>
  <c r="M112" i="1"/>
  <c r="M88" i="1"/>
  <c r="M64" i="1"/>
  <c r="M40" i="1"/>
  <c r="M16" i="1"/>
  <c r="M406" i="1"/>
  <c r="M262" i="1"/>
  <c r="M118" i="1"/>
  <c r="M651" i="1"/>
  <c r="M639" i="1"/>
  <c r="M627" i="1"/>
  <c r="M615" i="1"/>
  <c r="M603" i="1"/>
  <c r="M591" i="1"/>
  <c r="M579" i="1"/>
  <c r="M567" i="1"/>
  <c r="M555" i="1"/>
  <c r="M543" i="1"/>
  <c r="M531" i="1"/>
  <c r="M519" i="1"/>
  <c r="M507" i="1"/>
  <c r="M495" i="1"/>
  <c r="M483" i="1"/>
  <c r="M471" i="1"/>
  <c r="M447" i="1"/>
  <c r="M423" i="1"/>
  <c r="M411" i="1"/>
  <c r="M399" i="1"/>
  <c r="M387" i="1"/>
  <c r="M375" i="1"/>
  <c r="M351" i="1"/>
  <c r="M650" i="1"/>
  <c r="M638" i="1"/>
  <c r="M626" i="1"/>
  <c r="M614" i="1"/>
  <c r="M602" i="1"/>
  <c r="M590" i="1"/>
  <c r="M578" i="1"/>
  <c r="M566" i="1"/>
  <c r="M554" i="1"/>
  <c r="M542" i="1"/>
  <c r="M530" i="1"/>
  <c r="M518" i="1"/>
  <c r="M506" i="1"/>
  <c r="M494" i="1"/>
  <c r="M482" i="1"/>
  <c r="M470" i="1"/>
  <c r="M458" i="1"/>
  <c r="M434" i="1"/>
  <c r="M410" i="1"/>
  <c r="M386" i="1"/>
  <c r="M362" i="1"/>
  <c r="M338" i="1"/>
  <c r="M314" i="1"/>
  <c r="M290" i="1"/>
  <c r="M266" i="1"/>
  <c r="M242" i="1"/>
  <c r="M218" i="1"/>
  <c r="M194" i="1"/>
  <c r="M170" i="1"/>
  <c r="M146" i="1"/>
  <c r="M122" i="1"/>
  <c r="M110" i="1"/>
  <c r="M98" i="1"/>
  <c r="M74" i="1"/>
  <c r="M50" i="1"/>
  <c r="M26" i="1"/>
  <c r="M382" i="1"/>
  <c r="M94" i="1"/>
  <c r="M649" i="1"/>
  <c r="M625" i="1"/>
  <c r="M601" i="1"/>
  <c r="M577" i="1"/>
  <c r="M553" i="1"/>
  <c r="M529" i="1"/>
  <c r="M505" i="1"/>
  <c r="M481" i="1"/>
  <c r="M457" i="1"/>
  <c r="M433" i="1"/>
  <c r="M409" i="1"/>
  <c r="M385" i="1"/>
  <c r="M361" i="1"/>
  <c r="M337" i="1"/>
  <c r="M313" i="1"/>
  <c r="M289" i="1"/>
  <c r="M265" i="1"/>
  <c r="M241" i="1"/>
  <c r="M217" i="1"/>
  <c r="M193" i="1"/>
  <c r="M169" i="1"/>
  <c r="M145" i="1"/>
  <c r="M121" i="1"/>
  <c r="M97" i="1"/>
  <c r="M73" i="1"/>
  <c r="M49" i="1"/>
  <c r="M25" i="1"/>
  <c r="M648" i="1"/>
  <c r="M636" i="1"/>
  <c r="M624" i="1"/>
  <c r="M612" i="1"/>
  <c r="M600" i="1"/>
  <c r="M588" i="1"/>
  <c r="M576" i="1"/>
  <c r="M564" i="1"/>
  <c r="M552" i="1"/>
  <c r="M540" i="1"/>
  <c r="M528" i="1"/>
  <c r="M516" i="1"/>
  <c r="M504" i="1"/>
  <c r="M492" i="1"/>
  <c r="M480" i="1"/>
  <c r="M456" i="1"/>
  <c r="M432" i="1"/>
  <c r="M408" i="1"/>
  <c r="M384" i="1"/>
  <c r="M360" i="1"/>
  <c r="M336" i="1"/>
  <c r="M312" i="1"/>
  <c r="M288" i="1"/>
  <c r="M264" i="1"/>
  <c r="M240" i="1"/>
  <c r="M216" i="1"/>
  <c r="M192" i="1"/>
  <c r="M168" i="1"/>
  <c r="M144" i="1"/>
  <c r="M120" i="1"/>
  <c r="M96" i="1"/>
  <c r="M72" i="1"/>
  <c r="M48" i="1"/>
  <c r="M24" i="1"/>
  <c r="M358" i="1"/>
  <c r="M214" i="1"/>
  <c r="M70" i="1"/>
  <c r="M647" i="1"/>
  <c r="M635" i="1"/>
  <c r="M623" i="1"/>
  <c r="M611" i="1"/>
  <c r="M599" i="1"/>
  <c r="M587" i="1"/>
  <c r="M575" i="1"/>
  <c r="M563" i="1"/>
  <c r="M551" i="1"/>
  <c r="M539" i="1"/>
  <c r="M527" i="1"/>
  <c r="M515" i="1"/>
  <c r="M503" i="1"/>
  <c r="M491" i="1"/>
  <c r="M479" i="1"/>
  <c r="M467" i="1"/>
  <c r="M455" i="1"/>
  <c r="M431" i="1"/>
  <c r="M419" i="1"/>
  <c r="M407" i="1"/>
  <c r="M395" i="1"/>
  <c r="M383" i="1"/>
  <c r="M371" i="1"/>
  <c r="M359" i="1"/>
  <c r="M335" i="1"/>
  <c r="M311" i="1"/>
  <c r="M299" i="1"/>
  <c r="M287" i="1"/>
  <c r="M275" i="1"/>
  <c r="M263" i="1"/>
  <c r="M251" i="1"/>
  <c r="M239" i="1"/>
  <c r="M227" i="1"/>
  <c r="M215" i="1"/>
  <c r="M203" i="1"/>
  <c r="M191" i="1"/>
  <c r="M179" i="1"/>
  <c r="M167" i="1"/>
  <c r="M155" i="1"/>
  <c r="M143" i="1"/>
  <c r="M131" i="1"/>
  <c r="M119" i="1"/>
  <c r="M95" i="1"/>
  <c r="M71" i="1"/>
  <c r="M59" i="1"/>
  <c r="M47" i="1"/>
  <c r="M35" i="1"/>
  <c r="M23" i="1"/>
  <c r="M11" i="1"/>
  <c r="M334" i="1"/>
  <c r="M190" i="1"/>
  <c r="M46" i="1"/>
  <c r="M645" i="1"/>
  <c r="M633" i="1"/>
  <c r="M621" i="1"/>
  <c r="M609" i="1"/>
  <c r="M597" i="1"/>
  <c r="M585" i="1"/>
  <c r="M573" i="1"/>
  <c r="M561" i="1"/>
  <c r="M549" i="1"/>
  <c r="M537" i="1"/>
  <c r="M525" i="1"/>
  <c r="M513" i="1"/>
  <c r="M501" i="1"/>
  <c r="M489" i="1"/>
  <c r="M477" i="1"/>
  <c r="M465" i="1"/>
  <c r="M453" i="1"/>
  <c r="M441" i="1"/>
  <c r="M429" i="1"/>
  <c r="M417" i="1"/>
  <c r="M405" i="1"/>
  <c r="M393" i="1"/>
  <c r="M381" i="1"/>
  <c r="M369" i="1"/>
  <c r="M357" i="1"/>
  <c r="M345" i="1"/>
  <c r="M333" i="1"/>
  <c r="M321" i="1"/>
  <c r="M309" i="1"/>
  <c r="M297" i="1"/>
  <c r="M285" i="1"/>
  <c r="M273" i="1"/>
  <c r="M261" i="1"/>
  <c r="M249" i="1"/>
  <c r="M237" i="1"/>
  <c r="M225" i="1"/>
  <c r="M213" i="1"/>
  <c r="M201" i="1"/>
  <c r="M189" i="1"/>
  <c r="M177" i="1"/>
  <c r="M165" i="1"/>
  <c r="M153" i="1"/>
  <c r="M141" i="1"/>
  <c r="M129" i="1"/>
  <c r="M117" i="1"/>
  <c r="M105" i="1"/>
  <c r="M93" i="1"/>
  <c r="M81" i="1"/>
  <c r="M69" i="1"/>
  <c r="M57" i="1"/>
  <c r="M45" i="1"/>
  <c r="M33" i="1"/>
  <c r="M21" i="1"/>
  <c r="M9" i="1"/>
  <c r="M644" i="1"/>
  <c r="M632" i="1"/>
  <c r="M620" i="1"/>
  <c r="M608" i="1"/>
  <c r="M596" i="1"/>
  <c r="M584" i="1"/>
  <c r="M572" i="1"/>
  <c r="M560" i="1"/>
  <c r="M548" i="1"/>
  <c r="M536" i="1"/>
  <c r="M524" i="1"/>
  <c r="M512" i="1"/>
  <c r="M500" i="1"/>
  <c r="M488" i="1"/>
  <c r="M464" i="1"/>
  <c r="M440" i="1"/>
  <c r="M416" i="1"/>
  <c r="M392" i="1"/>
  <c r="M368" i="1"/>
  <c r="M344" i="1"/>
  <c r="M320" i="1"/>
  <c r="M296" i="1"/>
  <c r="M272" i="1"/>
  <c r="M248" i="1"/>
  <c r="M224" i="1"/>
  <c r="M200" i="1"/>
  <c r="M176" i="1"/>
  <c r="M152" i="1"/>
  <c r="M128" i="1"/>
  <c r="M104" i="1"/>
  <c r="M80" i="1"/>
  <c r="M56" i="1"/>
  <c r="M32" i="1"/>
  <c r="M8" i="1"/>
  <c r="M310" i="1"/>
  <c r="M166" i="1"/>
  <c r="M22" i="1"/>
  <c r="M643" i="1"/>
  <c r="M631" i="1"/>
  <c r="M619" i="1"/>
  <c r="M607" i="1"/>
  <c r="M595" i="1"/>
  <c r="M583" i="1"/>
  <c r="M571" i="1"/>
  <c r="M559" i="1"/>
  <c r="M547" i="1"/>
  <c r="M535" i="1"/>
  <c r="M523" i="1"/>
  <c r="M511" i="1"/>
  <c r="O499" i="1"/>
  <c r="M487" i="1"/>
  <c r="O475" i="1"/>
  <c r="M463" i="1"/>
  <c r="O451" i="1"/>
  <c r="M439" i="1"/>
  <c r="M427" i="1"/>
  <c r="M415" i="1"/>
  <c r="M403" i="1"/>
  <c r="M391" i="1"/>
  <c r="M379" i="1"/>
  <c r="M367" i="1"/>
  <c r="O355" i="1"/>
  <c r="M343" i="1"/>
  <c r="O331" i="1"/>
  <c r="M319" i="1"/>
  <c r="M307" i="1"/>
  <c r="M295" i="1"/>
  <c r="M283" i="1"/>
  <c r="M271" i="1"/>
  <c r="M259" i="1"/>
  <c r="M247" i="1"/>
  <c r="M235" i="1"/>
  <c r="M223" i="1"/>
  <c r="M211" i="1"/>
  <c r="M199" i="1"/>
  <c r="O187" i="1"/>
  <c r="M175" i="1"/>
  <c r="M163" i="1"/>
  <c r="M151" i="1"/>
  <c r="M139" i="1"/>
  <c r="O127" i="1"/>
  <c r="M115" i="1"/>
  <c r="M103" i="1"/>
  <c r="M91" i="1"/>
  <c r="M79" i="1"/>
  <c r="O67" i="1"/>
  <c r="M55" i="1"/>
  <c r="M43" i="1"/>
  <c r="O31" i="1"/>
  <c r="M19" i="1"/>
  <c r="O7" i="1"/>
  <c r="M642" i="1"/>
  <c r="M630" i="1"/>
  <c r="M618" i="1"/>
  <c r="M606" i="1"/>
  <c r="M594" i="1"/>
  <c r="M582" i="1"/>
  <c r="M570" i="1"/>
  <c r="M558" i="1"/>
  <c r="M546" i="1"/>
  <c r="M534" i="1"/>
  <c r="M522" i="1"/>
  <c r="M510" i="1"/>
  <c r="M498" i="1"/>
  <c r="M486" i="1"/>
  <c r="M474" i="1"/>
  <c r="M462" i="1"/>
  <c r="M450" i="1"/>
  <c r="M438" i="1"/>
  <c r="M426" i="1"/>
  <c r="M402" i="1"/>
  <c r="M378" i="1"/>
  <c r="M366" i="1"/>
  <c r="M354" i="1"/>
  <c r="M330" i="1"/>
  <c r="M306" i="1"/>
  <c r="M282" i="1"/>
  <c r="M258" i="1"/>
  <c r="M234" i="1"/>
  <c r="M210" i="1"/>
  <c r="M186" i="1"/>
  <c r="M174" i="1"/>
  <c r="M162" i="1"/>
  <c r="M138" i="1"/>
  <c r="M114" i="1"/>
  <c r="M90" i="1"/>
  <c r="M66" i="1"/>
  <c r="M42" i="1"/>
  <c r="M18" i="1"/>
  <c r="M286" i="1"/>
  <c r="M142" i="1"/>
  <c r="M2" i="1"/>
  <c r="M443" i="1"/>
  <c r="M347" i="1"/>
  <c r="M323" i="1"/>
  <c r="M107" i="1"/>
  <c r="M83" i="1"/>
  <c r="O414" i="1"/>
  <c r="O390" i="1"/>
  <c r="O342" i="1"/>
  <c r="O318" i="1"/>
  <c r="O294" i="1"/>
  <c r="O270" i="1"/>
  <c r="M476" i="1"/>
  <c r="M452" i="1"/>
  <c r="M428" i="1"/>
  <c r="M404" i="1"/>
  <c r="M380" i="1"/>
  <c r="M356" i="1"/>
  <c r="M332" i="1"/>
  <c r="M308" i="1"/>
  <c r="M284" i="1"/>
  <c r="M260" i="1"/>
  <c r="M236" i="1"/>
  <c r="M212" i="1"/>
  <c r="M188" i="1"/>
  <c r="M164" i="1"/>
  <c r="M140" i="1"/>
  <c r="M116" i="1"/>
  <c r="M92" i="1"/>
  <c r="M68" i="1"/>
  <c r="M44" i="1"/>
  <c r="M20" i="1"/>
  <c r="M499" i="1"/>
  <c r="M475" i="1"/>
  <c r="M451" i="1"/>
  <c r="M355" i="1"/>
  <c r="M331" i="1"/>
  <c r="M187" i="1"/>
  <c r="M127" i="1"/>
  <c r="M67" i="1"/>
  <c r="M31" i="1"/>
  <c r="M7" i="1"/>
  <c r="M414" i="1"/>
  <c r="M390" i="1"/>
  <c r="M342" i="1"/>
  <c r="M318" i="1"/>
  <c r="M294" i="1"/>
  <c r="M270" i="1"/>
  <c r="M246" i="1"/>
  <c r="M222" i="1"/>
  <c r="M198" i="1"/>
  <c r="M150" i="1"/>
  <c r="M126" i="1"/>
  <c r="M102" i="1"/>
  <c r="M78" i="1"/>
  <c r="M54" i="1"/>
  <c r="M30" i="1"/>
  <c r="M6" i="1"/>
  <c r="M629" i="1"/>
  <c r="M605" i="1"/>
  <c r="M581" i="1"/>
  <c r="M557" i="1"/>
  <c r="M533" i="1"/>
  <c r="M509" i="1"/>
  <c r="M485" i="1"/>
  <c r="M461" i="1"/>
  <c r="M437" i="1"/>
  <c r="M413" i="1"/>
  <c r="M389" i="1"/>
  <c r="M365" i="1"/>
  <c r="M341" i="1"/>
  <c r="M317" i="1"/>
  <c r="M293" i="1"/>
  <c r="M269" i="1"/>
  <c r="M245" i="1"/>
  <c r="M221" i="1"/>
  <c r="M197" i="1"/>
  <c r="M173" i="1"/>
  <c r="M149" i="1"/>
  <c r="M125" i="1"/>
  <c r="M101" i="1"/>
  <c r="M77" i="1"/>
  <c r="M53" i="1"/>
  <c r="M29" i="1"/>
  <c r="M5" i="1"/>
  <c r="M484" i="1"/>
  <c r="M460" i="1"/>
  <c r="M436" i="1"/>
  <c r="M412" i="1"/>
  <c r="M388" i="1"/>
  <c r="M364" i="1"/>
  <c r="M340" i="1"/>
  <c r="M316" i="1"/>
  <c r="M292" i="1"/>
  <c r="M268" i="1"/>
  <c r="M244" i="1"/>
  <c r="M220" i="1"/>
  <c r="M196" i="1"/>
  <c r="M172" i="1"/>
  <c r="M148" i="1"/>
  <c r="M124" i="1"/>
  <c r="M100" i="1"/>
  <c r="M76" i="1"/>
  <c r="M52" i="1"/>
  <c r="M28" i="1"/>
  <c r="M4" i="1"/>
  <c r="M459" i="1"/>
  <c r="M435" i="1"/>
  <c r="M363" i="1"/>
  <c r="M315" i="1"/>
  <c r="M219" i="1"/>
  <c r="M159" i="1"/>
  <c r="M99" i="1"/>
  <c r="M75" i="1"/>
  <c r="M51" i="1"/>
  <c r="M446" i="1"/>
  <c r="M422" i="1"/>
  <c r="M398" i="1"/>
  <c r="M374" i="1"/>
  <c r="M350" i="1"/>
  <c r="M326" i="1"/>
  <c r="M302" i="1"/>
  <c r="M278" i="1"/>
  <c r="M254" i="1"/>
  <c r="M230" i="1"/>
  <c r="M206" i="1"/>
  <c r="M182" i="1"/>
  <c r="M158" i="1"/>
  <c r="M134" i="1"/>
  <c r="M86" i="1"/>
  <c r="M62" i="1"/>
  <c r="M38" i="1"/>
  <c r="M14" i="1"/>
  <c r="M637" i="1"/>
  <c r="M613" i="1"/>
  <c r="M589" i="1"/>
  <c r="M565" i="1"/>
  <c r="M541" i="1"/>
  <c r="M517" i="1"/>
  <c r="M493" i="1"/>
  <c r="M469" i="1"/>
  <c r="M445" i="1"/>
  <c r="M421" i="1"/>
  <c r="M397" i="1"/>
  <c r="M373" i="1"/>
  <c r="M349" i="1"/>
  <c r="M325" i="1"/>
  <c r="M301" i="1"/>
  <c r="M277" i="1"/>
  <c r="M253" i="1"/>
  <c r="M229" i="1"/>
  <c r="M205" i="1"/>
  <c r="M181" i="1"/>
  <c r="M157" i="1"/>
  <c r="M133" i="1"/>
  <c r="M109" i="1"/>
  <c r="M85" i="1"/>
  <c r="M61" i="1"/>
  <c r="M37" i="1"/>
  <c r="M13" i="1"/>
  <c r="O645" i="1"/>
  <c r="O621" i="1"/>
  <c r="O597" i="1"/>
  <c r="O573" i="1"/>
  <c r="O549" i="1"/>
  <c r="O525" i="1"/>
  <c r="O501" i="1"/>
  <c r="O477" i="1"/>
  <c r="O453" i="1"/>
  <c r="O429" i="1"/>
  <c r="O405" i="1"/>
  <c r="O381" i="1"/>
  <c r="O357" i="1"/>
  <c r="O333" i="1"/>
  <c r="O309" i="1"/>
  <c r="O285" i="1"/>
  <c r="O261" i="1"/>
  <c r="O237" i="1"/>
  <c r="O213" i="1"/>
  <c r="O189" i="1"/>
  <c r="O165" i="1"/>
  <c r="O141" i="1"/>
  <c r="O117" i="1"/>
  <c r="O93" i="1"/>
  <c r="O69" i="1"/>
  <c r="O45" i="1"/>
  <c r="O21" i="1"/>
  <c r="M468" i="1"/>
  <c r="M444" i="1"/>
  <c r="M420" i="1"/>
  <c r="M396" i="1"/>
  <c r="M372" i="1"/>
  <c r="M348" i="1"/>
  <c r="M324" i="1"/>
  <c r="M300" i="1"/>
  <c r="M276" i="1"/>
  <c r="M252" i="1"/>
  <c r="M228" i="1"/>
  <c r="M204" i="1"/>
  <c r="M180" i="1"/>
  <c r="M156" i="1"/>
  <c r="M132" i="1"/>
  <c r="M108" i="1"/>
  <c r="M84" i="1"/>
  <c r="M60" i="1"/>
  <c r="M36" i="1"/>
  <c r="M12" i="1"/>
  <c r="O96" i="1"/>
  <c r="O64" i="1"/>
  <c r="O24" i="1"/>
  <c r="O639" i="1"/>
  <c r="O551" i="1"/>
  <c r="O535" i="1"/>
  <c r="O527" i="1"/>
  <c r="O519" i="1"/>
  <c r="O511" i="1"/>
  <c r="O495" i="1"/>
  <c r="O487" i="1"/>
  <c r="O471" i="1"/>
  <c r="O439" i="1"/>
  <c r="O407" i="1"/>
  <c r="O375" i="1"/>
  <c r="O295" i="1"/>
  <c r="O287" i="1"/>
  <c r="O271" i="1"/>
  <c r="O263" i="1"/>
  <c r="O255" i="1"/>
  <c r="O239" i="1"/>
  <c r="O646" i="1"/>
  <c r="O638" i="1"/>
  <c r="O630" i="1"/>
  <c r="O614" i="1"/>
  <c r="O606" i="1"/>
  <c r="O598" i="1"/>
  <c r="O590" i="1"/>
  <c r="O582" i="1"/>
  <c r="O574" i="1"/>
  <c r="O566" i="1"/>
  <c r="O550" i="1"/>
  <c r="O542" i="1"/>
  <c r="O534" i="1"/>
  <c r="O526" i="1"/>
  <c r="O518" i="1"/>
  <c r="O510" i="1"/>
  <c r="O502" i="1"/>
  <c r="O486" i="1"/>
  <c r="O478" i="1"/>
  <c r="O470" i="1"/>
  <c r="O462" i="1"/>
  <c r="O454" i="1"/>
  <c r="O438" i="1"/>
  <c r="O650" i="1"/>
  <c r="O642" i="1"/>
  <c r="O634" i="1"/>
  <c r="O610" i="1"/>
  <c r="O594" i="1"/>
  <c r="O562" i="1"/>
  <c r="O546" i="1"/>
  <c r="O538" i="1"/>
  <c r="O514" i="1"/>
  <c r="O426" i="1"/>
  <c r="O418" i="1"/>
  <c r="O410" i="1"/>
  <c r="O394" i="1"/>
  <c r="O386" i="1"/>
  <c r="O378" i="1"/>
  <c r="O282" i="1"/>
  <c r="O250" i="1"/>
  <c r="O170" i="1"/>
  <c r="O162" i="1"/>
  <c r="O146" i="1"/>
  <c r="O138" i="1"/>
  <c r="O130" i="1"/>
  <c r="O114" i="1"/>
  <c r="O42" i="1"/>
  <c r="O232" i="1"/>
  <c r="O224" i="1"/>
  <c r="O208" i="1"/>
  <c r="O200" i="1"/>
  <c r="O192" i="1"/>
  <c r="O176" i="1"/>
  <c r="O65" i="1"/>
  <c r="O57" i="1"/>
  <c r="O49" i="1"/>
  <c r="O41" i="1"/>
  <c r="O33" i="1"/>
  <c r="O25" i="1"/>
  <c r="O17" i="1"/>
  <c r="O9" i="1"/>
  <c r="O2" i="1"/>
  <c r="O644" i="1"/>
  <c r="O636" i="1"/>
  <c r="O628" i="1"/>
  <c r="O620" i="1"/>
  <c r="O612" i="1"/>
  <c r="O604" i="1"/>
  <c r="O596" i="1"/>
  <c r="O588" i="1"/>
  <c r="O580" i="1"/>
  <c r="O572" i="1"/>
  <c r="O564" i="1"/>
  <c r="O556" i="1"/>
  <c r="O548" i="1"/>
  <c r="O540" i="1"/>
  <c r="O532" i="1"/>
  <c r="O524" i="1"/>
  <c r="O516" i="1"/>
  <c r="O508" i="1"/>
  <c r="O500" i="1"/>
  <c r="O492" i="1"/>
  <c r="O321" i="1"/>
  <c r="O313" i="1"/>
  <c r="O305" i="1"/>
  <c r="O297" i="1"/>
  <c r="O289" i="1"/>
  <c r="O281" i="1"/>
  <c r="O273" i="1"/>
  <c r="O265" i="1"/>
  <c r="O257" i="1"/>
  <c r="O249" i="1"/>
  <c r="O241" i="1"/>
  <c r="O233" i="1"/>
  <c r="O225" i="1"/>
  <c r="O217" i="1"/>
  <c r="O209" i="1"/>
  <c r="O201" i="1"/>
  <c r="O193" i="1"/>
  <c r="O185" i="1"/>
  <c r="O177" i="1"/>
  <c r="O169" i="1"/>
  <c r="O161" i="1"/>
  <c r="O153" i="1"/>
  <c r="O145" i="1"/>
  <c r="O137" i="1"/>
  <c r="O129" i="1"/>
  <c r="O121" i="1"/>
  <c r="O113" i="1"/>
  <c r="O105" i="1"/>
  <c r="O97" i="1"/>
  <c r="O89" i="1"/>
  <c r="O81" i="1"/>
  <c r="O73" i="1"/>
  <c r="O619" i="1"/>
  <c r="O611" i="1"/>
  <c r="O587" i="1"/>
  <c r="O649" i="1"/>
  <c r="O641" i="1"/>
  <c r="O633" i="1"/>
  <c r="O625" i="1"/>
  <c r="O617" i="1"/>
  <c r="O609" i="1"/>
  <c r="O601" i="1"/>
  <c r="O593" i="1"/>
  <c r="O585" i="1"/>
  <c r="O577" i="1"/>
  <c r="O569" i="1"/>
  <c r="O561" i="1"/>
  <c r="O553" i="1"/>
  <c r="O545" i="1"/>
  <c r="O537" i="1"/>
  <c r="O529" i="1"/>
  <c r="O521" i="1"/>
  <c r="O513" i="1"/>
  <c r="O505" i="1"/>
  <c r="O497" i="1"/>
  <c r="O489" i="1"/>
  <c r="O481" i="1"/>
  <c r="O473" i="1"/>
  <c r="O465" i="1"/>
  <c r="O457" i="1"/>
  <c r="O449" i="1"/>
  <c r="O441" i="1"/>
  <c r="O433" i="1"/>
  <c r="O425" i="1"/>
  <c r="O417" i="1"/>
  <c r="O409" i="1"/>
  <c r="O401" i="1"/>
  <c r="O393" i="1"/>
  <c r="O385" i="1"/>
  <c r="O377" i="1"/>
  <c r="O369" i="1"/>
  <c r="O361" i="1"/>
  <c r="O353" i="1"/>
  <c r="O345" i="1"/>
  <c r="O337" i="1"/>
  <c r="O329" i="1"/>
  <c r="O643" i="1"/>
  <c r="O603" i="1"/>
  <c r="O595" i="1"/>
  <c r="O579" i="1"/>
  <c r="O563" i="1"/>
  <c r="O547" i="1"/>
  <c r="O531" i="1"/>
  <c r="O427" i="1"/>
  <c r="O411" i="1"/>
  <c r="O387" i="1"/>
  <c r="O339" i="1"/>
  <c r="O307" i="1"/>
  <c r="O291" i="1"/>
  <c r="O267" i="1"/>
  <c r="O251" i="1"/>
  <c r="O235" i="1"/>
  <c r="O227" i="1"/>
  <c r="O211" i="1"/>
  <c r="O195" i="1"/>
  <c r="O179" i="1"/>
  <c r="O163" i="1"/>
  <c r="O147" i="1"/>
  <c r="O131" i="1"/>
  <c r="O91" i="1"/>
  <c r="O19" i="1"/>
  <c r="O3" i="1"/>
  <c r="O648" i="1"/>
  <c r="O640" i="1"/>
  <c r="O632" i="1"/>
  <c r="O624" i="1"/>
  <c r="O616" i="1"/>
  <c r="O608" i="1"/>
  <c r="O600" i="1"/>
  <c r="O592" i="1"/>
  <c r="O584" i="1"/>
  <c r="O576" i="1"/>
  <c r="O568" i="1"/>
  <c r="O560" i="1"/>
  <c r="O552" i="1"/>
  <c r="O544" i="1"/>
  <c r="O536" i="1"/>
  <c r="O528" i="1"/>
  <c r="O520" i="1"/>
  <c r="O512" i="1"/>
  <c r="O504" i="1"/>
  <c r="O496" i="1"/>
  <c r="O488" i="1"/>
  <c r="O480" i="1"/>
  <c r="O472" i="1"/>
  <c r="O464" i="1"/>
  <c r="O456" i="1"/>
  <c r="O448" i="1"/>
  <c r="O440" i="1"/>
  <c r="O432" i="1"/>
  <c r="O424" i="1"/>
  <c r="O416" i="1"/>
  <c r="O408" i="1"/>
  <c r="O400" i="1"/>
  <c r="O392" i="1"/>
  <c r="O384" i="1"/>
  <c r="O376" i="1"/>
  <c r="O368" i="1"/>
  <c r="O360" i="1"/>
  <c r="O352" i="1"/>
  <c r="O344" i="1"/>
  <c r="O336" i="1"/>
  <c r="O328" i="1"/>
  <c r="O320" i="1"/>
  <c r="O312" i="1"/>
  <c r="O304" i="1"/>
  <c r="O296" i="1"/>
  <c r="O288" i="1"/>
  <c r="O280" i="1"/>
  <c r="O272" i="1"/>
  <c r="O264" i="1"/>
  <c r="O256" i="1"/>
  <c r="O248" i="1"/>
  <c r="O240" i="1"/>
  <c r="O216" i="1"/>
  <c r="O184" i="1"/>
  <c r="O168" i="1"/>
  <c r="O160" i="1"/>
  <c r="O152" i="1"/>
  <c r="O144" i="1"/>
  <c r="O136" i="1"/>
  <c r="O128" i="1"/>
  <c r="O120" i="1"/>
  <c r="O112" i="1"/>
  <c r="O104" i="1"/>
  <c r="O88" i="1"/>
  <c r="O80" i="1"/>
  <c r="O72" i="1"/>
  <c r="O56" i="1"/>
  <c r="O48" i="1"/>
  <c r="O40" i="1"/>
  <c r="O32" i="1"/>
  <c r="O16" i="1"/>
  <c r="O8" i="1"/>
  <c r="O647" i="1"/>
  <c r="O631" i="1"/>
  <c r="O623" i="1"/>
  <c r="O615" i="1"/>
  <c r="O607" i="1"/>
  <c r="O599" i="1"/>
  <c r="O591" i="1"/>
  <c r="O583" i="1"/>
  <c r="O575" i="1"/>
  <c r="O567" i="1"/>
  <c r="O559" i="1"/>
  <c r="O543" i="1"/>
  <c r="O503" i="1"/>
  <c r="O479" i="1"/>
  <c r="O463" i="1"/>
  <c r="O455" i="1"/>
  <c r="O447" i="1"/>
  <c r="O431" i="1"/>
  <c r="O423" i="1"/>
  <c r="O415" i="1"/>
  <c r="O399" i="1"/>
  <c r="O391" i="1"/>
  <c r="O383" i="1"/>
  <c r="O367" i="1"/>
  <c r="O359" i="1"/>
  <c r="O351" i="1"/>
  <c r="O343" i="1"/>
  <c r="O335" i="1"/>
  <c r="O327" i="1"/>
  <c r="O319" i="1"/>
  <c r="O311" i="1"/>
  <c r="O303" i="1"/>
  <c r="O279" i="1"/>
  <c r="O247" i="1"/>
  <c r="O231" i="1"/>
  <c r="O223" i="1"/>
  <c r="O215" i="1"/>
  <c r="O207" i="1"/>
  <c r="O199" i="1"/>
  <c r="O191" i="1"/>
  <c r="O183" i="1"/>
  <c r="O175" i="1"/>
  <c r="O167" i="1"/>
  <c r="O151" i="1"/>
  <c r="O143" i="1"/>
  <c r="O135" i="1"/>
  <c r="O119" i="1"/>
  <c r="O111" i="1"/>
  <c r="O103" i="1"/>
  <c r="O95" i="1"/>
  <c r="O87" i="1"/>
  <c r="O79" i="1"/>
  <c r="O71" i="1"/>
  <c r="O63" i="1"/>
  <c r="O55" i="1"/>
  <c r="O47" i="1"/>
  <c r="O39" i="1"/>
  <c r="O23" i="1"/>
  <c r="O15" i="1"/>
  <c r="O622" i="1"/>
  <c r="O558" i="1"/>
  <c r="O494" i="1"/>
  <c r="O430" i="1"/>
  <c r="O366" i="1"/>
  <c r="O238" i="1"/>
  <c r="O174" i="1"/>
  <c r="O110" i="1"/>
  <c r="O635" i="1"/>
  <c r="O507" i="1"/>
  <c r="O59" i="1"/>
  <c r="O35" i="1"/>
  <c r="O626" i="1"/>
  <c r="O618" i="1"/>
  <c r="O602" i="1"/>
  <c r="O586" i="1"/>
  <c r="O578" i="1"/>
  <c r="O570" i="1"/>
  <c r="O554" i="1"/>
  <c r="O530" i="1"/>
  <c r="O522" i="1"/>
  <c r="O506" i="1"/>
  <c r="O498" i="1"/>
  <c r="O490" i="1"/>
  <c r="O482" i="1"/>
  <c r="O474" i="1"/>
  <c r="O466" i="1"/>
  <c r="O458" i="1"/>
  <c r="O450" i="1"/>
  <c r="O442" i="1"/>
  <c r="O434" i="1"/>
  <c r="O402" i="1"/>
  <c r="O370" i="1"/>
  <c r="O362" i="1"/>
  <c r="O354" i="1"/>
  <c r="O346" i="1"/>
  <c r="O338" i="1"/>
  <c r="O330" i="1"/>
  <c r="O322" i="1"/>
  <c r="O314" i="1"/>
  <c r="O306" i="1"/>
  <c r="O298" i="1"/>
  <c r="O290" i="1"/>
  <c r="O274" i="1"/>
  <c r="O266" i="1"/>
  <c r="O258" i="1"/>
  <c r="O242" i="1"/>
  <c r="O234" i="1"/>
  <c r="O226" i="1"/>
  <c r="O218" i="1"/>
  <c r="O210" i="1"/>
  <c r="O202" i="1"/>
  <c r="O194" i="1"/>
  <c r="O186" i="1"/>
  <c r="O178" i="1"/>
  <c r="O154" i="1"/>
  <c r="O122" i="1"/>
  <c r="O106" i="1"/>
  <c r="O98" i="1"/>
  <c r="O90" i="1"/>
  <c r="O82" i="1"/>
  <c r="O74" i="1"/>
  <c r="O66" i="1"/>
  <c r="O58" i="1"/>
  <c r="O50" i="1"/>
  <c r="O34" i="1"/>
  <c r="O26" i="1"/>
  <c r="O18" i="1"/>
  <c r="O10" i="1"/>
  <c r="O651" i="1"/>
  <c r="O627" i="1"/>
  <c r="O571" i="1"/>
  <c r="O555" i="1"/>
  <c r="O539" i="1"/>
  <c r="O523" i="1"/>
  <c r="O515" i="1"/>
  <c r="O491" i="1"/>
  <c r="O483" i="1"/>
  <c r="O467" i="1"/>
  <c r="O419" i="1"/>
  <c r="O403" i="1"/>
  <c r="O395" i="1"/>
  <c r="O379" i="1"/>
  <c r="O371" i="1"/>
  <c r="O299" i="1"/>
  <c r="O283" i="1"/>
  <c r="O275" i="1"/>
  <c r="O259" i="1"/>
  <c r="O243" i="1"/>
  <c r="O203" i="1"/>
  <c r="O171" i="1"/>
  <c r="O155" i="1"/>
  <c r="O139" i="1"/>
  <c r="O123" i="1"/>
  <c r="O115" i="1"/>
  <c r="O43" i="1"/>
  <c r="O27" i="1"/>
  <c r="O11" i="1"/>
</calcChain>
</file>

<file path=xl/sharedStrings.xml><?xml version="1.0" encoding="utf-8"?>
<sst xmlns="http://schemas.openxmlformats.org/spreadsheetml/2006/main" count="3642" uniqueCount="1010">
  <si>
    <t>Order_ID</t>
  </si>
  <si>
    <t>Order_Date</t>
  </si>
  <si>
    <t>Region</t>
  </si>
  <si>
    <t>Sales_Rep</t>
  </si>
  <si>
    <t>Product_ID</t>
  </si>
  <si>
    <t>Quantity</t>
  </si>
  <si>
    <t>Unit_Price</t>
  </si>
  <si>
    <t>O0001</t>
  </si>
  <si>
    <t>2025-03-08</t>
  </si>
  <si>
    <t>West</t>
  </si>
  <si>
    <t>Arjun</t>
  </si>
  <si>
    <t>P102</t>
  </si>
  <si>
    <t>O0002</t>
  </si>
  <si>
    <t>2025-12-08</t>
  </si>
  <si>
    <t>Vikas</t>
  </si>
  <si>
    <t>P104</t>
  </si>
  <si>
    <t>O0003</t>
  </si>
  <si>
    <t>2025-02-20</t>
  </si>
  <si>
    <t>South</t>
  </si>
  <si>
    <t>Priya</t>
  </si>
  <si>
    <t>P103</t>
  </si>
  <si>
    <t>O0004</t>
  </si>
  <si>
    <t>2025-02-07</t>
  </si>
  <si>
    <t>P106</t>
  </si>
  <si>
    <t>O0005</t>
  </si>
  <si>
    <t>2025-12-04</t>
  </si>
  <si>
    <t>East</t>
  </si>
  <si>
    <t>Sneha</t>
  </si>
  <si>
    <t>P101</t>
  </si>
  <si>
    <t>O0006</t>
  </si>
  <si>
    <t>2025-10-25</t>
  </si>
  <si>
    <t>O0007</t>
  </si>
  <si>
    <t>2025-06-03</t>
  </si>
  <si>
    <t>North</t>
  </si>
  <si>
    <t>P107</t>
  </si>
  <si>
    <t>O0008</t>
  </si>
  <si>
    <t>2025-01-02</t>
  </si>
  <si>
    <t>Rahul</t>
  </si>
  <si>
    <t>O0009</t>
  </si>
  <si>
    <t>2025-08-21</t>
  </si>
  <si>
    <t>P105</t>
  </si>
  <si>
    <t>O0010</t>
  </si>
  <si>
    <t>2025-12-12</t>
  </si>
  <si>
    <t>O0011</t>
  </si>
  <si>
    <t>2025-03-24</t>
  </si>
  <si>
    <t>O0012</t>
  </si>
  <si>
    <t>2025-02-19</t>
  </si>
  <si>
    <t>O0013</t>
  </si>
  <si>
    <t>2025-08-31</t>
  </si>
  <si>
    <t>O0014</t>
  </si>
  <si>
    <t>2025-01-23</t>
  </si>
  <si>
    <t>Amit</t>
  </si>
  <si>
    <t>O0015</t>
  </si>
  <si>
    <t>2025-10-01</t>
  </si>
  <si>
    <t>Karan</t>
  </si>
  <si>
    <t>O0016</t>
  </si>
  <si>
    <t>2025-08-13</t>
  </si>
  <si>
    <t>O0017</t>
  </si>
  <si>
    <t>2025-09-05</t>
  </si>
  <si>
    <t>O0018</t>
  </si>
  <si>
    <t>2025-11-23</t>
  </si>
  <si>
    <t>P108</t>
  </si>
  <si>
    <t>O0019</t>
  </si>
  <si>
    <t>2025-07-01</t>
  </si>
  <si>
    <t>O0020</t>
  </si>
  <si>
    <t>2025-10-30</t>
  </si>
  <si>
    <t>O0021</t>
  </si>
  <si>
    <t>2025-11-27</t>
  </si>
  <si>
    <t>O0022</t>
  </si>
  <si>
    <t>2025-07-23</t>
  </si>
  <si>
    <t>O0023</t>
  </si>
  <si>
    <t>2025-04-27</t>
  </si>
  <si>
    <t>O0024</t>
  </si>
  <si>
    <t>2025-08-16</t>
  </si>
  <si>
    <t>O0025</t>
  </si>
  <si>
    <t>2025-09-24</t>
  </si>
  <si>
    <t>O0026</t>
  </si>
  <si>
    <t>2025-05-10</t>
  </si>
  <si>
    <t>O0027</t>
  </si>
  <si>
    <t>2025-05-29</t>
  </si>
  <si>
    <t>O0028</t>
  </si>
  <si>
    <t>2025-11-24</t>
  </si>
  <si>
    <t>O0029</t>
  </si>
  <si>
    <t>2025-08-20</t>
  </si>
  <si>
    <t>O0030</t>
  </si>
  <si>
    <t>2025-12-13</t>
  </si>
  <si>
    <t>O0031</t>
  </si>
  <si>
    <t>2025-01-16</t>
  </si>
  <si>
    <t>O0032</t>
  </si>
  <si>
    <t>2025-01-29</t>
  </si>
  <si>
    <t>O0033</t>
  </si>
  <si>
    <t>2025-12-26</t>
  </si>
  <si>
    <t>O0034</t>
  </si>
  <si>
    <t>2025-07-20</t>
  </si>
  <si>
    <t>O0035</t>
  </si>
  <si>
    <t>O0036</t>
  </si>
  <si>
    <t>2025-03-03</t>
  </si>
  <si>
    <t>O0037</t>
  </si>
  <si>
    <t>2025-01-21</t>
  </si>
  <si>
    <t>O0038</t>
  </si>
  <si>
    <t>2025-10-28</t>
  </si>
  <si>
    <t>O0039</t>
  </si>
  <si>
    <t>2025-08-04</t>
  </si>
  <si>
    <t>O0040</t>
  </si>
  <si>
    <t>2025-06-11</t>
  </si>
  <si>
    <t>O0041</t>
  </si>
  <si>
    <t>2025-06-02</t>
  </si>
  <si>
    <t>O0042</t>
  </si>
  <si>
    <t>2025-07-11</t>
  </si>
  <si>
    <t>O0043</t>
  </si>
  <si>
    <t>2025-12-24</t>
  </si>
  <si>
    <t>O0044</t>
  </si>
  <si>
    <t>2025-10-19</t>
  </si>
  <si>
    <t>O0045</t>
  </si>
  <si>
    <t>O0046</t>
  </si>
  <si>
    <t>2025-09-03</t>
  </si>
  <si>
    <t>O0047</t>
  </si>
  <si>
    <t>2025-10-08</t>
  </si>
  <si>
    <t>O0048</t>
  </si>
  <si>
    <t>2025-01-04</t>
  </si>
  <si>
    <t>O0049</t>
  </si>
  <si>
    <t>2025-08-19</t>
  </si>
  <si>
    <t>O0050</t>
  </si>
  <si>
    <t>2025-04-21</t>
  </si>
  <si>
    <t>O0051</t>
  </si>
  <si>
    <t>O0052</t>
  </si>
  <si>
    <t>2025-01-22</t>
  </si>
  <si>
    <t>O0053</t>
  </si>
  <si>
    <t>2025-10-10</t>
  </si>
  <si>
    <t>O0054</t>
  </si>
  <si>
    <t>O0055</t>
  </si>
  <si>
    <t>2025-06-30</t>
  </si>
  <si>
    <t>O0056</t>
  </si>
  <si>
    <t>2025-06-22</t>
  </si>
  <si>
    <t>O0057</t>
  </si>
  <si>
    <t>2025-12-19</t>
  </si>
  <si>
    <t>O0058</t>
  </si>
  <si>
    <t>2025-04-18</t>
  </si>
  <si>
    <t>O0059</t>
  </si>
  <si>
    <t>2025-05-04</t>
  </si>
  <si>
    <t>O0060</t>
  </si>
  <si>
    <t>2025-07-19</t>
  </si>
  <si>
    <t>O0061</t>
  </si>
  <si>
    <t>2025-05-21</t>
  </si>
  <si>
    <t>O0062</t>
  </si>
  <si>
    <t>2025-02-13</t>
  </si>
  <si>
    <t>O0063</t>
  </si>
  <si>
    <t>2025-09-02</t>
  </si>
  <si>
    <t>O0064</t>
  </si>
  <si>
    <t>2025-05-03</t>
  </si>
  <si>
    <t>O0065</t>
  </si>
  <si>
    <t>2025-04-13</t>
  </si>
  <si>
    <t>Neha</t>
  </si>
  <si>
    <t>O0066</t>
  </si>
  <si>
    <t>O0067</t>
  </si>
  <si>
    <t>2025-03-12</t>
  </si>
  <si>
    <t>O0068</t>
  </si>
  <si>
    <t>2025-07-12</t>
  </si>
  <si>
    <t>O0069</t>
  </si>
  <si>
    <t>2025-06-28</t>
  </si>
  <si>
    <t>O0070</t>
  </si>
  <si>
    <t>2025-06-16</t>
  </si>
  <si>
    <t>O0071</t>
  </si>
  <si>
    <t>O0072</t>
  </si>
  <si>
    <t>2025-01-09</t>
  </si>
  <si>
    <t>O0073</t>
  </si>
  <si>
    <t>2025-11-06</t>
  </si>
  <si>
    <t>O0074</t>
  </si>
  <si>
    <t>2025-02-15</t>
  </si>
  <si>
    <t>O0075</t>
  </si>
  <si>
    <t>O0076</t>
  </si>
  <si>
    <t>2025-01-14</t>
  </si>
  <si>
    <t>O0077</t>
  </si>
  <si>
    <t>2025-01-26</t>
  </si>
  <si>
    <t>O0078</t>
  </si>
  <si>
    <t>2025-02-05</t>
  </si>
  <si>
    <t>O0079</t>
  </si>
  <si>
    <t>O0080</t>
  </si>
  <si>
    <t>2025-02-24</t>
  </si>
  <si>
    <t>O0081</t>
  </si>
  <si>
    <t>2025-07-07</t>
  </si>
  <si>
    <t>O0082</t>
  </si>
  <si>
    <t>2025-06-05</t>
  </si>
  <si>
    <t>O0083</t>
  </si>
  <si>
    <t>2025-10-27</t>
  </si>
  <si>
    <t>O0084</t>
  </si>
  <si>
    <t>O0085</t>
  </si>
  <si>
    <t>2025-03-13</t>
  </si>
  <si>
    <t>O0086</t>
  </si>
  <si>
    <t>2025-11-13</t>
  </si>
  <si>
    <t>O0087</t>
  </si>
  <si>
    <t>2025-11-28</t>
  </si>
  <si>
    <t>O0088</t>
  </si>
  <si>
    <t>2025-03-11</t>
  </si>
  <si>
    <t>O0089</t>
  </si>
  <si>
    <t>2025-02-09</t>
  </si>
  <si>
    <t>O0090</t>
  </si>
  <si>
    <t>2025-08-25</t>
  </si>
  <si>
    <t>O0091</t>
  </si>
  <si>
    <t>2025-08-24</t>
  </si>
  <si>
    <t>O0092</t>
  </si>
  <si>
    <t>2025-03-05</t>
  </si>
  <si>
    <t>O0093</t>
  </si>
  <si>
    <t>O0094</t>
  </si>
  <si>
    <t>2025-10-09</t>
  </si>
  <si>
    <t>O0095</t>
  </si>
  <si>
    <t>O0096</t>
  </si>
  <si>
    <t>2025-05-26</t>
  </si>
  <si>
    <t>O0097</t>
  </si>
  <si>
    <t>2025-04-15</t>
  </si>
  <si>
    <t>O0098</t>
  </si>
  <si>
    <t>O0099</t>
  </si>
  <si>
    <t>2025-06-01</t>
  </si>
  <si>
    <t>O0100</t>
  </si>
  <si>
    <t>2025-09-19</t>
  </si>
  <si>
    <t>O0101</t>
  </si>
  <si>
    <t>2025-08-30</t>
  </si>
  <si>
    <t>O0102</t>
  </si>
  <si>
    <t>2025-02-26</t>
  </si>
  <si>
    <t>O0103</t>
  </si>
  <si>
    <t>2025-02-14</t>
  </si>
  <si>
    <t>O0104</t>
  </si>
  <si>
    <t>2025-09-26</t>
  </si>
  <si>
    <t>O0105</t>
  </si>
  <si>
    <t>2025-12-02</t>
  </si>
  <si>
    <t>O0106</t>
  </si>
  <si>
    <t>2025-07-25</t>
  </si>
  <si>
    <t>O0107</t>
  </si>
  <si>
    <t>2025-08-06</t>
  </si>
  <si>
    <t>O0108</t>
  </si>
  <si>
    <t>2025-09-15</t>
  </si>
  <si>
    <t>O0109</t>
  </si>
  <si>
    <t>2025-09-27</t>
  </si>
  <si>
    <t>O0110</t>
  </si>
  <si>
    <t>2025-04-16</t>
  </si>
  <si>
    <t>O0111</t>
  </si>
  <si>
    <t>2025-10-05</t>
  </si>
  <si>
    <t>O0112</t>
  </si>
  <si>
    <t>O0113</t>
  </si>
  <si>
    <t>2025-06-27</t>
  </si>
  <si>
    <t>O0114</t>
  </si>
  <si>
    <t>O0115</t>
  </si>
  <si>
    <t>O0116</t>
  </si>
  <si>
    <t>2025-08-15</t>
  </si>
  <si>
    <t>O0117</t>
  </si>
  <si>
    <t>2025-10-21</t>
  </si>
  <si>
    <t>O0118</t>
  </si>
  <si>
    <t>2025-09-30</t>
  </si>
  <si>
    <t>O0119</t>
  </si>
  <si>
    <t>2025-08-10</t>
  </si>
  <si>
    <t>O0120</t>
  </si>
  <si>
    <t>2025-09-13</t>
  </si>
  <si>
    <t>O0121</t>
  </si>
  <si>
    <t>2025-01-19</t>
  </si>
  <si>
    <t>O0122</t>
  </si>
  <si>
    <t>2025-12-28</t>
  </si>
  <si>
    <t>O0123</t>
  </si>
  <si>
    <t>2025-03-18</t>
  </si>
  <si>
    <t>O0124</t>
  </si>
  <si>
    <t>2025-09-08</t>
  </si>
  <si>
    <t>O0125</t>
  </si>
  <si>
    <t>2025-09-09</t>
  </si>
  <si>
    <t>O0126</t>
  </si>
  <si>
    <t>O0127</t>
  </si>
  <si>
    <t>2025-05-01</t>
  </si>
  <si>
    <t>O0128</t>
  </si>
  <si>
    <t>2025-08-17</t>
  </si>
  <si>
    <t>O0129</t>
  </si>
  <si>
    <t>2025-02-04</t>
  </si>
  <si>
    <t>O0130</t>
  </si>
  <si>
    <t>2025-07-27</t>
  </si>
  <si>
    <t>O0131</t>
  </si>
  <si>
    <t>O0132</t>
  </si>
  <si>
    <t>2025-02-21</t>
  </si>
  <si>
    <t>O0133</t>
  </si>
  <si>
    <t>O0134</t>
  </si>
  <si>
    <t>2025-03-25</t>
  </si>
  <si>
    <t>O0135</t>
  </si>
  <si>
    <t>2025-05-23</t>
  </si>
  <si>
    <t>O0136</t>
  </si>
  <si>
    <t>2025-11-14</t>
  </si>
  <si>
    <t>O0137</t>
  </si>
  <si>
    <t>2025-11-07</t>
  </si>
  <si>
    <t>O0138</t>
  </si>
  <si>
    <t>2025-05-30</t>
  </si>
  <si>
    <t>O0139</t>
  </si>
  <si>
    <t>2025-10-13</t>
  </si>
  <si>
    <t>O0140</t>
  </si>
  <si>
    <t>O0141</t>
  </si>
  <si>
    <t>2025-06-08</t>
  </si>
  <si>
    <t>O0142</t>
  </si>
  <si>
    <t>2025-08-23</t>
  </si>
  <si>
    <t>O0143</t>
  </si>
  <si>
    <t>2025-01-05</t>
  </si>
  <si>
    <t>O0144</t>
  </si>
  <si>
    <t>2025-07-29</t>
  </si>
  <si>
    <t>O0145</t>
  </si>
  <si>
    <t>O0146</t>
  </si>
  <si>
    <t>2025-04-20</t>
  </si>
  <si>
    <t>O0147</t>
  </si>
  <si>
    <t>O0148</t>
  </si>
  <si>
    <t>O0149</t>
  </si>
  <si>
    <t>2025-12-17</t>
  </si>
  <si>
    <t>O0150</t>
  </si>
  <si>
    <t>2025-09-10</t>
  </si>
  <si>
    <t>O0151</t>
  </si>
  <si>
    <t>2025-04-22</t>
  </si>
  <si>
    <t>O0152</t>
  </si>
  <si>
    <t>O0153</t>
  </si>
  <si>
    <t>O0154</t>
  </si>
  <si>
    <t>O0155</t>
  </si>
  <si>
    <t>2025-01-06</t>
  </si>
  <si>
    <t>O0156</t>
  </si>
  <si>
    <t>2025-05-02</t>
  </si>
  <si>
    <t>O0157</t>
  </si>
  <si>
    <t>2025-05-27</t>
  </si>
  <si>
    <t>O0158</t>
  </si>
  <si>
    <t>O0159</t>
  </si>
  <si>
    <t>2025-11-05</t>
  </si>
  <si>
    <t>O0160</t>
  </si>
  <si>
    <t>2025-03-19</t>
  </si>
  <si>
    <t>O0161</t>
  </si>
  <si>
    <t>O0162</t>
  </si>
  <si>
    <t>2025-10-26</t>
  </si>
  <si>
    <t>O0163</t>
  </si>
  <si>
    <t>2025-01-30</t>
  </si>
  <si>
    <t>O0164</t>
  </si>
  <si>
    <t>2025-09-23</t>
  </si>
  <si>
    <t>O0165</t>
  </si>
  <si>
    <t>2025-01-18</t>
  </si>
  <si>
    <t>O0166</t>
  </si>
  <si>
    <t>2025-08-05</t>
  </si>
  <si>
    <t>O0167</t>
  </si>
  <si>
    <t>2025-12-05</t>
  </si>
  <si>
    <t>O0168</t>
  </si>
  <si>
    <t>2025-04-17</t>
  </si>
  <si>
    <t>O0169</t>
  </si>
  <si>
    <t>O0170</t>
  </si>
  <si>
    <t>2025-09-29</t>
  </si>
  <si>
    <t>O0171</t>
  </si>
  <si>
    <t>O0172</t>
  </si>
  <si>
    <t>2025-12-18</t>
  </si>
  <si>
    <t>O0173</t>
  </si>
  <si>
    <t>2025-03-04</t>
  </si>
  <si>
    <t>O0174</t>
  </si>
  <si>
    <t>2025-04-30</t>
  </si>
  <si>
    <t>O0175</t>
  </si>
  <si>
    <t>2025-07-15</t>
  </si>
  <si>
    <t>O0176</t>
  </si>
  <si>
    <t>2025-03-29</t>
  </si>
  <si>
    <t>O0177</t>
  </si>
  <si>
    <t>2025-10-29</t>
  </si>
  <si>
    <t>O0178</t>
  </si>
  <si>
    <t>O0179</t>
  </si>
  <si>
    <t>2025-10-22</t>
  </si>
  <si>
    <t>O0180</t>
  </si>
  <si>
    <t>O0181</t>
  </si>
  <si>
    <t>2025-04-25</t>
  </si>
  <si>
    <t>O0182</t>
  </si>
  <si>
    <t>2025-07-06</t>
  </si>
  <si>
    <t>O0183</t>
  </si>
  <si>
    <t>2025-05-16</t>
  </si>
  <si>
    <t>O0184</t>
  </si>
  <si>
    <t>O0185</t>
  </si>
  <si>
    <t>2025-09-06</t>
  </si>
  <si>
    <t>O0186</t>
  </si>
  <si>
    <t>2025-08-11</t>
  </si>
  <si>
    <t>O0187</t>
  </si>
  <si>
    <t>2025-10-18</t>
  </si>
  <si>
    <t>O0188</t>
  </si>
  <si>
    <t>O0189</t>
  </si>
  <si>
    <t>2025-08-28</t>
  </si>
  <si>
    <t>O0190</t>
  </si>
  <si>
    <t>O0191</t>
  </si>
  <si>
    <t>O0192</t>
  </si>
  <si>
    <t>2025-09-28</t>
  </si>
  <si>
    <t>O0193</t>
  </si>
  <si>
    <t>O0194</t>
  </si>
  <si>
    <t>O0195</t>
  </si>
  <si>
    <t>O0196</t>
  </si>
  <si>
    <t>2025-09-01</t>
  </si>
  <si>
    <t>O0197</t>
  </si>
  <si>
    <t>2025-01-03</t>
  </si>
  <si>
    <t>O0198</t>
  </si>
  <si>
    <t>2025-11-08</t>
  </si>
  <si>
    <t>O0199</t>
  </si>
  <si>
    <t>2025-02-16</t>
  </si>
  <si>
    <t>O0200</t>
  </si>
  <si>
    <t>O0201</t>
  </si>
  <si>
    <t>O0202</t>
  </si>
  <si>
    <t>2025-01-12</t>
  </si>
  <si>
    <t>O0203</t>
  </si>
  <si>
    <t>O0204</t>
  </si>
  <si>
    <t>O0205</t>
  </si>
  <si>
    <t>2025-04-03</t>
  </si>
  <si>
    <t>O0206</t>
  </si>
  <si>
    <t>O0207</t>
  </si>
  <si>
    <t>2025-08-02</t>
  </si>
  <si>
    <t>O0208</t>
  </si>
  <si>
    <t>2025-06-10</t>
  </si>
  <si>
    <t>O0209</t>
  </si>
  <si>
    <t>O0210</t>
  </si>
  <si>
    <t>2025-02-10</t>
  </si>
  <si>
    <t>O0211</t>
  </si>
  <si>
    <t>2025-01-20</t>
  </si>
  <si>
    <t>O0212</t>
  </si>
  <si>
    <t>2025-10-03</t>
  </si>
  <si>
    <t>O0213</t>
  </si>
  <si>
    <t>O0214</t>
  </si>
  <si>
    <t>O0215</t>
  </si>
  <si>
    <t>2025-06-23</t>
  </si>
  <si>
    <t>O0216</t>
  </si>
  <si>
    <t>2025-07-08</t>
  </si>
  <si>
    <t>O0217</t>
  </si>
  <si>
    <t>O0218</t>
  </si>
  <si>
    <t>O0219</t>
  </si>
  <si>
    <t>2025-02-17</t>
  </si>
  <si>
    <t>O0220</t>
  </si>
  <si>
    <t>2025-12-11</t>
  </si>
  <si>
    <t>O0221</t>
  </si>
  <si>
    <t>O0222</t>
  </si>
  <si>
    <t>O0223</t>
  </si>
  <si>
    <t>2025-07-24</t>
  </si>
  <si>
    <t>O0224</t>
  </si>
  <si>
    <t>O0225</t>
  </si>
  <si>
    <t>2025-12-29</t>
  </si>
  <si>
    <t>O0226</t>
  </si>
  <si>
    <t>O0227</t>
  </si>
  <si>
    <t>2025-08-07</t>
  </si>
  <si>
    <t>O0228</t>
  </si>
  <si>
    <t>2025-11-12</t>
  </si>
  <si>
    <t>O0229</t>
  </si>
  <si>
    <t>O0230</t>
  </si>
  <si>
    <t>O0231</t>
  </si>
  <si>
    <t>O0232</t>
  </si>
  <si>
    <t>2025-04-29</t>
  </si>
  <si>
    <t>O0233</t>
  </si>
  <si>
    <t>O0234</t>
  </si>
  <si>
    <t>O0235</t>
  </si>
  <si>
    <t>O0236</t>
  </si>
  <si>
    <t>O0237</t>
  </si>
  <si>
    <t>2025-11-19</t>
  </si>
  <si>
    <t>O0238</t>
  </si>
  <si>
    <t>2025-08-29</t>
  </si>
  <si>
    <t>O0239</t>
  </si>
  <si>
    <t>O0240</t>
  </si>
  <si>
    <t>O0241</t>
  </si>
  <si>
    <t>2025-05-08</t>
  </si>
  <si>
    <t>O0242</t>
  </si>
  <si>
    <t>2025-06-04</t>
  </si>
  <si>
    <t>O0243</t>
  </si>
  <si>
    <t>2025-07-30</t>
  </si>
  <si>
    <t>O0244</t>
  </si>
  <si>
    <t>O0245</t>
  </si>
  <si>
    <t>O0246</t>
  </si>
  <si>
    <t>2025-02-02</t>
  </si>
  <si>
    <t>O0247</t>
  </si>
  <si>
    <t>2025-12-03</t>
  </si>
  <si>
    <t>O0248</t>
  </si>
  <si>
    <t>O0249</t>
  </si>
  <si>
    <t>2025-01-15</t>
  </si>
  <si>
    <t>O0250</t>
  </si>
  <si>
    <t>2025-01-31</t>
  </si>
  <si>
    <t>O0251</t>
  </si>
  <si>
    <t>2025-06-21</t>
  </si>
  <si>
    <t>O0252</t>
  </si>
  <si>
    <t>2025-12-15</t>
  </si>
  <si>
    <t>O0253</t>
  </si>
  <si>
    <t>2025-02-11</t>
  </si>
  <si>
    <t>O0254</t>
  </si>
  <si>
    <t>2025-01-10</t>
  </si>
  <si>
    <t>O0255</t>
  </si>
  <si>
    <t>O0256</t>
  </si>
  <si>
    <t>O0257</t>
  </si>
  <si>
    <t>O0258</t>
  </si>
  <si>
    <t>2025-08-01</t>
  </si>
  <si>
    <t>O0259</t>
  </si>
  <si>
    <t>2025-04-04</t>
  </si>
  <si>
    <t>O0260</t>
  </si>
  <si>
    <t>2025-07-26</t>
  </si>
  <si>
    <t>O0261</t>
  </si>
  <si>
    <t>O0262</t>
  </si>
  <si>
    <t>2025-01-07</t>
  </si>
  <si>
    <t>O0263</t>
  </si>
  <si>
    <t>2025-03-17</t>
  </si>
  <si>
    <t>O0264</t>
  </si>
  <si>
    <t>O0265</t>
  </si>
  <si>
    <t>O0266</t>
  </si>
  <si>
    <t>O0267</t>
  </si>
  <si>
    <t>O0268</t>
  </si>
  <si>
    <t>O0269</t>
  </si>
  <si>
    <t>O0270</t>
  </si>
  <si>
    <t>2025-07-13</t>
  </si>
  <si>
    <t>O0271</t>
  </si>
  <si>
    <t>O0272</t>
  </si>
  <si>
    <t>2025-02-08</t>
  </si>
  <si>
    <t>O0273</t>
  </si>
  <si>
    <t>O0274</t>
  </si>
  <si>
    <t>O0275</t>
  </si>
  <si>
    <t>O0276</t>
  </si>
  <si>
    <t>2025-04-05</t>
  </si>
  <si>
    <t>O0277</t>
  </si>
  <si>
    <t>O0278</t>
  </si>
  <si>
    <t>O0279</t>
  </si>
  <si>
    <t>O0280</t>
  </si>
  <si>
    <t>2025-08-03</t>
  </si>
  <si>
    <t>O0281</t>
  </si>
  <si>
    <t>O0282</t>
  </si>
  <si>
    <t>O0283</t>
  </si>
  <si>
    <t>2025-05-20</t>
  </si>
  <si>
    <t>O0284</t>
  </si>
  <si>
    <t>2025-09-07</t>
  </si>
  <si>
    <t>O0285</t>
  </si>
  <si>
    <t>O0286</t>
  </si>
  <si>
    <t>O0287</t>
  </si>
  <si>
    <t>O0288</t>
  </si>
  <si>
    <t>2025-10-04</t>
  </si>
  <si>
    <t>O0289</t>
  </si>
  <si>
    <t>2025-09-14</t>
  </si>
  <si>
    <t>O0290</t>
  </si>
  <si>
    <t>2025-07-17</t>
  </si>
  <si>
    <t>O0291</t>
  </si>
  <si>
    <t>O0292</t>
  </si>
  <si>
    <t>O0293</t>
  </si>
  <si>
    <t>2025-10-20</t>
  </si>
  <si>
    <t>O0294</t>
  </si>
  <si>
    <t>O0295</t>
  </si>
  <si>
    <t>2025-11-11</t>
  </si>
  <si>
    <t>O0296</t>
  </si>
  <si>
    <t>O0297</t>
  </si>
  <si>
    <t>2025-04-19</t>
  </si>
  <si>
    <t>O0298</t>
  </si>
  <si>
    <t>2025-11-17</t>
  </si>
  <si>
    <t>O0299</t>
  </si>
  <si>
    <t>2025-05-11</t>
  </si>
  <si>
    <t>O0300</t>
  </si>
  <si>
    <t>O0301</t>
  </si>
  <si>
    <t>O0302</t>
  </si>
  <si>
    <t>O0303</t>
  </si>
  <si>
    <t>O0304</t>
  </si>
  <si>
    <t>2025-10-31</t>
  </si>
  <si>
    <t>O0305</t>
  </si>
  <si>
    <t>O0306</t>
  </si>
  <si>
    <t>O0307</t>
  </si>
  <si>
    <t>2025-01-13</t>
  </si>
  <si>
    <t>O0308</t>
  </si>
  <si>
    <t>O0309</t>
  </si>
  <si>
    <t>2025-06-26</t>
  </si>
  <si>
    <t>O0310</t>
  </si>
  <si>
    <t>O0311</t>
  </si>
  <si>
    <t>O0312</t>
  </si>
  <si>
    <t>O0313</t>
  </si>
  <si>
    <t>O0314</t>
  </si>
  <si>
    <t>O0315</t>
  </si>
  <si>
    <t>O0316</t>
  </si>
  <si>
    <t>O0317</t>
  </si>
  <si>
    <t>O0318</t>
  </si>
  <si>
    <t>2025-05-17</t>
  </si>
  <si>
    <t>O0319</t>
  </si>
  <si>
    <t>2025-06-07</t>
  </si>
  <si>
    <t>O0320</t>
  </si>
  <si>
    <t>2025-07-16</t>
  </si>
  <si>
    <t>O0321</t>
  </si>
  <si>
    <t>O0322</t>
  </si>
  <si>
    <t>O0323</t>
  </si>
  <si>
    <t>O0324</t>
  </si>
  <si>
    <t>2025-03-30</t>
  </si>
  <si>
    <t>O0325</t>
  </si>
  <si>
    <t>O0326</t>
  </si>
  <si>
    <t>2025-04-28</t>
  </si>
  <si>
    <t>O0327</t>
  </si>
  <si>
    <t>O0328</t>
  </si>
  <si>
    <t>O0329</t>
  </si>
  <si>
    <t>2025-12-01</t>
  </si>
  <si>
    <t>O0330</t>
  </si>
  <si>
    <t>O0331</t>
  </si>
  <si>
    <t>2025-03-31</t>
  </si>
  <si>
    <t>O0332</t>
  </si>
  <si>
    <t>O0333</t>
  </si>
  <si>
    <t>2025-11-01</t>
  </si>
  <si>
    <t>O0334</t>
  </si>
  <si>
    <t>2025-04-10</t>
  </si>
  <si>
    <t>O0335</t>
  </si>
  <si>
    <t>O0336</t>
  </si>
  <si>
    <t>2025-10-24</t>
  </si>
  <si>
    <t>O0337</t>
  </si>
  <si>
    <t>O0338</t>
  </si>
  <si>
    <t>O0339</t>
  </si>
  <si>
    <t>2025-11-21</t>
  </si>
  <si>
    <t>O0340</t>
  </si>
  <si>
    <t>O0341</t>
  </si>
  <si>
    <t>O0342</t>
  </si>
  <si>
    <t>2025-01-08</t>
  </si>
  <si>
    <t>O0343</t>
  </si>
  <si>
    <t>O0344</t>
  </si>
  <si>
    <t>O0345</t>
  </si>
  <si>
    <t>2025-07-04</t>
  </si>
  <si>
    <t>O0346</t>
  </si>
  <si>
    <t>O0347</t>
  </si>
  <si>
    <t>O0348</t>
  </si>
  <si>
    <t>O0349</t>
  </si>
  <si>
    <t>O0350</t>
  </si>
  <si>
    <t>O0351</t>
  </si>
  <si>
    <t>O0352</t>
  </si>
  <si>
    <t>O0353</t>
  </si>
  <si>
    <t>O0354</t>
  </si>
  <si>
    <t>O0355</t>
  </si>
  <si>
    <t>O0356</t>
  </si>
  <si>
    <t>2025-03-01</t>
  </si>
  <si>
    <t>O0357</t>
  </si>
  <si>
    <t>O0358</t>
  </si>
  <si>
    <t>O0359</t>
  </si>
  <si>
    <t>O0360</t>
  </si>
  <si>
    <t>2025-05-18</t>
  </si>
  <si>
    <t>O0361</t>
  </si>
  <si>
    <t>2025-10-02</t>
  </si>
  <si>
    <t>O0362</t>
  </si>
  <si>
    <t>O0363</t>
  </si>
  <si>
    <t>O0364</t>
  </si>
  <si>
    <t>2025-01-27</t>
  </si>
  <si>
    <t>O0365</t>
  </si>
  <si>
    <t>O0366</t>
  </si>
  <si>
    <t>O0367</t>
  </si>
  <si>
    <t>O0368</t>
  </si>
  <si>
    <t>O0369</t>
  </si>
  <si>
    <t>O0370</t>
  </si>
  <si>
    <t>2025-10-17</t>
  </si>
  <si>
    <t>O0371</t>
  </si>
  <si>
    <t>2025-07-02</t>
  </si>
  <si>
    <t>O0372</t>
  </si>
  <si>
    <t>2025-07-10</t>
  </si>
  <si>
    <t>O0373</t>
  </si>
  <si>
    <t>O0374</t>
  </si>
  <si>
    <t>O0375</t>
  </si>
  <si>
    <t>O0376</t>
  </si>
  <si>
    <t>2025-10-16</t>
  </si>
  <si>
    <t>O0377</t>
  </si>
  <si>
    <t>2025-12-31</t>
  </si>
  <si>
    <t>O0378</t>
  </si>
  <si>
    <t>O0379</t>
  </si>
  <si>
    <t>2025-05-09</t>
  </si>
  <si>
    <t>O0380</t>
  </si>
  <si>
    <t>O0381</t>
  </si>
  <si>
    <t>O0382</t>
  </si>
  <si>
    <t>O0383</t>
  </si>
  <si>
    <t>O0384</t>
  </si>
  <si>
    <t>O0385</t>
  </si>
  <si>
    <t>O0386</t>
  </si>
  <si>
    <t>O0387</t>
  </si>
  <si>
    <t>2025-04-01</t>
  </si>
  <si>
    <t>O0388</t>
  </si>
  <si>
    <t>O0389</t>
  </si>
  <si>
    <t>O0390</t>
  </si>
  <si>
    <t>O0391</t>
  </si>
  <si>
    <t>O0392</t>
  </si>
  <si>
    <t>2025-11-15</t>
  </si>
  <si>
    <t>O0393</t>
  </si>
  <si>
    <t>O0394</t>
  </si>
  <si>
    <t>O0395</t>
  </si>
  <si>
    <t>O0396</t>
  </si>
  <si>
    <t>2025-04-06</t>
  </si>
  <si>
    <t>O0397</t>
  </si>
  <si>
    <t>O0398</t>
  </si>
  <si>
    <t>2025-01-01</t>
  </si>
  <si>
    <t>O0399</t>
  </si>
  <si>
    <t>2025-03-16</t>
  </si>
  <si>
    <t>O0400</t>
  </si>
  <si>
    <t>O0401</t>
  </si>
  <si>
    <t>O0402</t>
  </si>
  <si>
    <t>2025-06-25</t>
  </si>
  <si>
    <t>O0403</t>
  </si>
  <si>
    <t>O0404</t>
  </si>
  <si>
    <t>O0405</t>
  </si>
  <si>
    <t>2025-04-02</t>
  </si>
  <si>
    <t>O0406</t>
  </si>
  <si>
    <t>O0407</t>
  </si>
  <si>
    <t>2025-10-23</t>
  </si>
  <si>
    <t>O0408</t>
  </si>
  <si>
    <t>O0409</t>
  </si>
  <si>
    <t>O0410</t>
  </si>
  <si>
    <t>O0411</t>
  </si>
  <si>
    <t>O0412</t>
  </si>
  <si>
    <t>2025-06-12</t>
  </si>
  <si>
    <t>O0413</t>
  </si>
  <si>
    <t>O0414</t>
  </si>
  <si>
    <t>O0415</t>
  </si>
  <si>
    <t>O0416</t>
  </si>
  <si>
    <t>2025-05-31</t>
  </si>
  <si>
    <t>O0417</t>
  </si>
  <si>
    <t>O0418</t>
  </si>
  <si>
    <t>O0419</t>
  </si>
  <si>
    <t>2025-11-03</t>
  </si>
  <si>
    <t>O0420</t>
  </si>
  <si>
    <t>2025-05-06</t>
  </si>
  <si>
    <t>O0421</t>
  </si>
  <si>
    <t>O0422</t>
  </si>
  <si>
    <t>2025-05-25</t>
  </si>
  <si>
    <t>O0423</t>
  </si>
  <si>
    <t>2025-12-09</t>
  </si>
  <si>
    <t>O0424</t>
  </si>
  <si>
    <t>O0425</t>
  </si>
  <si>
    <t>O0426</t>
  </si>
  <si>
    <t>O0427</t>
  </si>
  <si>
    <t>2025-09-18</t>
  </si>
  <si>
    <t>O0428</t>
  </si>
  <si>
    <t>O0429</t>
  </si>
  <si>
    <t>O0430</t>
  </si>
  <si>
    <t>O0431</t>
  </si>
  <si>
    <t>O0432</t>
  </si>
  <si>
    <t>O0433</t>
  </si>
  <si>
    <t>O0434</t>
  </si>
  <si>
    <t>2025-08-14</t>
  </si>
  <si>
    <t>O0435</t>
  </si>
  <si>
    <t>2025-11-25</t>
  </si>
  <si>
    <t>O0436</t>
  </si>
  <si>
    <t>2025-03-02</t>
  </si>
  <si>
    <t>O0437</t>
  </si>
  <si>
    <t>O0438</t>
  </si>
  <si>
    <t>2025-07-31</t>
  </si>
  <si>
    <t>O0439</t>
  </si>
  <si>
    <t>2025-12-20</t>
  </si>
  <si>
    <t>O0440</t>
  </si>
  <si>
    <t>2025-06-17</t>
  </si>
  <si>
    <t>O0441</t>
  </si>
  <si>
    <t>2025-01-11</t>
  </si>
  <si>
    <t>O0442</t>
  </si>
  <si>
    <t>O0443</t>
  </si>
  <si>
    <t>O0444</t>
  </si>
  <si>
    <t>O0445</t>
  </si>
  <si>
    <t>O0446</t>
  </si>
  <si>
    <t>O0447</t>
  </si>
  <si>
    <t>2025-07-14</t>
  </si>
  <si>
    <t>O0448</t>
  </si>
  <si>
    <t>O0449</t>
  </si>
  <si>
    <t>O0450</t>
  </si>
  <si>
    <t>2025-07-28</t>
  </si>
  <si>
    <t>O0451</t>
  </si>
  <si>
    <t>O0452</t>
  </si>
  <si>
    <t>O0453</t>
  </si>
  <si>
    <t>O0454</t>
  </si>
  <si>
    <t>O0455</t>
  </si>
  <si>
    <t>O0456</t>
  </si>
  <si>
    <t>O0457</t>
  </si>
  <si>
    <t>O0458</t>
  </si>
  <si>
    <t>O0459</t>
  </si>
  <si>
    <t>O0460</t>
  </si>
  <si>
    <t>O0461</t>
  </si>
  <si>
    <t>2025-10-12</t>
  </si>
  <si>
    <t>O0462</t>
  </si>
  <si>
    <t>2025-05-22</t>
  </si>
  <si>
    <t>O0463</t>
  </si>
  <si>
    <t>O0464</t>
  </si>
  <si>
    <t>O0465</t>
  </si>
  <si>
    <t>O0466</t>
  </si>
  <si>
    <t>O0467</t>
  </si>
  <si>
    <t>O0468</t>
  </si>
  <si>
    <t>O0469</t>
  </si>
  <si>
    <t>O0470</t>
  </si>
  <si>
    <t>O0471</t>
  </si>
  <si>
    <t>O0472</t>
  </si>
  <si>
    <t>O0473</t>
  </si>
  <si>
    <t>O0474</t>
  </si>
  <si>
    <t>O0475</t>
  </si>
  <si>
    <t>O0476</t>
  </si>
  <si>
    <t>O0477</t>
  </si>
  <si>
    <t>2025-07-21</t>
  </si>
  <si>
    <t>O0478</t>
  </si>
  <si>
    <t>2025-01-24</t>
  </si>
  <si>
    <t>O0479</t>
  </si>
  <si>
    <t>2025-03-15</t>
  </si>
  <si>
    <t>O0480</t>
  </si>
  <si>
    <t>O0481</t>
  </si>
  <si>
    <t>O0482</t>
  </si>
  <si>
    <t>O0483</t>
  </si>
  <si>
    <t>2025-08-08</t>
  </si>
  <si>
    <t>O0484</t>
  </si>
  <si>
    <t>O0485</t>
  </si>
  <si>
    <t>2025-01-25</t>
  </si>
  <si>
    <t>O0486</t>
  </si>
  <si>
    <t>O0487</t>
  </si>
  <si>
    <t>O0488</t>
  </si>
  <si>
    <t>2025-10-14</t>
  </si>
  <si>
    <t>O0489</t>
  </si>
  <si>
    <t>O0490</t>
  </si>
  <si>
    <t>2025-01-28</t>
  </si>
  <si>
    <t>O0491</t>
  </si>
  <si>
    <t>2025-06-06</t>
  </si>
  <si>
    <t>O0492</t>
  </si>
  <si>
    <t>O0493</t>
  </si>
  <si>
    <t>O0494</t>
  </si>
  <si>
    <t>O0495</t>
  </si>
  <si>
    <t>O0496</t>
  </si>
  <si>
    <t>O0497</t>
  </si>
  <si>
    <t>O0498</t>
  </si>
  <si>
    <t>2025-12-27</t>
  </si>
  <si>
    <t>O0499</t>
  </si>
  <si>
    <t>O0500</t>
  </si>
  <si>
    <t>O0501</t>
  </si>
  <si>
    <t>O0502</t>
  </si>
  <si>
    <t>2025-08-12</t>
  </si>
  <si>
    <t>O0503</t>
  </si>
  <si>
    <t>2025-06-15</t>
  </si>
  <si>
    <t>O0504</t>
  </si>
  <si>
    <t>O0505</t>
  </si>
  <si>
    <t>2025-11-10</t>
  </si>
  <si>
    <t>O0506</t>
  </si>
  <si>
    <t>O0507</t>
  </si>
  <si>
    <t>O0508</t>
  </si>
  <si>
    <t>O0509</t>
  </si>
  <si>
    <t>O0510</t>
  </si>
  <si>
    <t>O0511</t>
  </si>
  <si>
    <t>O0512</t>
  </si>
  <si>
    <t>2025-03-22</t>
  </si>
  <si>
    <t>O0513</t>
  </si>
  <si>
    <t>O0514</t>
  </si>
  <si>
    <t>O0515</t>
  </si>
  <si>
    <t>O0516</t>
  </si>
  <si>
    <t>2025-11-09</t>
  </si>
  <si>
    <t>O0517</t>
  </si>
  <si>
    <t>O0518</t>
  </si>
  <si>
    <t>O0519</t>
  </si>
  <si>
    <t>2025-02-25</t>
  </si>
  <si>
    <t>O0520</t>
  </si>
  <si>
    <t>O0521</t>
  </si>
  <si>
    <t>O0522</t>
  </si>
  <si>
    <t>O0523</t>
  </si>
  <si>
    <t>O0524</t>
  </si>
  <si>
    <t>O0525</t>
  </si>
  <si>
    <t>O0526</t>
  </si>
  <si>
    <t>2025-03-28</t>
  </si>
  <si>
    <t>O0527</t>
  </si>
  <si>
    <t>O0528</t>
  </si>
  <si>
    <t>2025-12-16</t>
  </si>
  <si>
    <t>O0529</t>
  </si>
  <si>
    <t>O0530</t>
  </si>
  <si>
    <t>2025-06-13</t>
  </si>
  <si>
    <t>O0531</t>
  </si>
  <si>
    <t>O0532</t>
  </si>
  <si>
    <t>O0533</t>
  </si>
  <si>
    <t>O0534</t>
  </si>
  <si>
    <t>O0535</t>
  </si>
  <si>
    <t>O0536</t>
  </si>
  <si>
    <t>O0537</t>
  </si>
  <si>
    <t>O0538</t>
  </si>
  <si>
    <t>O0539</t>
  </si>
  <si>
    <t>2025-11-02</t>
  </si>
  <si>
    <t>O0540</t>
  </si>
  <si>
    <t>O0541</t>
  </si>
  <si>
    <t>2025-04-24</t>
  </si>
  <si>
    <t>O0542</t>
  </si>
  <si>
    <t>O0543</t>
  </si>
  <si>
    <t>2025-05-15</t>
  </si>
  <si>
    <t>O0544</t>
  </si>
  <si>
    <t>2025-12-06</t>
  </si>
  <si>
    <t>O0545</t>
  </si>
  <si>
    <t>O0546</t>
  </si>
  <si>
    <t>O0547</t>
  </si>
  <si>
    <t>O0548</t>
  </si>
  <si>
    <t>2025-11-18</t>
  </si>
  <si>
    <t>O0549</t>
  </si>
  <si>
    <t>O0550</t>
  </si>
  <si>
    <t>O0551</t>
  </si>
  <si>
    <t>O0552</t>
  </si>
  <si>
    <t>2025-05-14</t>
  </si>
  <si>
    <t>O0553</t>
  </si>
  <si>
    <t>O0554</t>
  </si>
  <si>
    <t>O0555</t>
  </si>
  <si>
    <t>O0556</t>
  </si>
  <si>
    <t>O0557</t>
  </si>
  <si>
    <t>2025-05-13</t>
  </si>
  <si>
    <t>O0558</t>
  </si>
  <si>
    <t>O0559</t>
  </si>
  <si>
    <t>O0560</t>
  </si>
  <si>
    <t>2025-03-14</t>
  </si>
  <si>
    <t>O0561</t>
  </si>
  <si>
    <t>O0562</t>
  </si>
  <si>
    <t>O0563</t>
  </si>
  <si>
    <t>O0564</t>
  </si>
  <si>
    <t>O0565</t>
  </si>
  <si>
    <t>O0566</t>
  </si>
  <si>
    <t>2025-11-04</t>
  </si>
  <si>
    <t>O0567</t>
  </si>
  <si>
    <t>O0568</t>
  </si>
  <si>
    <t>O0569</t>
  </si>
  <si>
    <t>O0570</t>
  </si>
  <si>
    <t>O0571</t>
  </si>
  <si>
    <t>O0572</t>
  </si>
  <si>
    <t>O0573</t>
  </si>
  <si>
    <t>2025-10-15</t>
  </si>
  <si>
    <t>O0574</t>
  </si>
  <si>
    <t>O0575</t>
  </si>
  <si>
    <t>O0576</t>
  </si>
  <si>
    <t>O0577</t>
  </si>
  <si>
    <t>O0578</t>
  </si>
  <si>
    <t>O0579</t>
  </si>
  <si>
    <t>O0580</t>
  </si>
  <si>
    <t>O0581</t>
  </si>
  <si>
    <t>O0582</t>
  </si>
  <si>
    <t>O0583</t>
  </si>
  <si>
    <t>O0584</t>
  </si>
  <si>
    <t>O0585</t>
  </si>
  <si>
    <t>O0586</t>
  </si>
  <si>
    <t>O0587</t>
  </si>
  <si>
    <t>O0588</t>
  </si>
  <si>
    <t>2025-08-18</t>
  </si>
  <si>
    <t>O0589</t>
  </si>
  <si>
    <t>O0590</t>
  </si>
  <si>
    <t>O0591</t>
  </si>
  <si>
    <t>O0592</t>
  </si>
  <si>
    <t>O0593</t>
  </si>
  <si>
    <t>O0594</t>
  </si>
  <si>
    <t>2025-07-18</t>
  </si>
  <si>
    <t>O0595</t>
  </si>
  <si>
    <t>O0596</t>
  </si>
  <si>
    <t>O0597</t>
  </si>
  <si>
    <t>2025-12-25</t>
  </si>
  <si>
    <t>O0598</t>
  </si>
  <si>
    <t>O0599</t>
  </si>
  <si>
    <t>O0600</t>
  </si>
  <si>
    <t>O0601</t>
  </si>
  <si>
    <t>O0602</t>
  </si>
  <si>
    <t>O0603</t>
  </si>
  <si>
    <t>O0604</t>
  </si>
  <si>
    <t>O0605</t>
  </si>
  <si>
    <t>O0606</t>
  </si>
  <si>
    <t>2025-02-01</t>
  </si>
  <si>
    <t>O0607</t>
  </si>
  <si>
    <t>O0608</t>
  </si>
  <si>
    <t>O0609</t>
  </si>
  <si>
    <t>O0610</t>
  </si>
  <si>
    <t>O0611</t>
  </si>
  <si>
    <t>O0612</t>
  </si>
  <si>
    <t>O0613</t>
  </si>
  <si>
    <t>O0614</t>
  </si>
  <si>
    <t>O0615</t>
  </si>
  <si>
    <t>O0616</t>
  </si>
  <si>
    <t>O0617</t>
  </si>
  <si>
    <t>O0618</t>
  </si>
  <si>
    <t>O0619</t>
  </si>
  <si>
    <t>O0620</t>
  </si>
  <si>
    <t>O0621</t>
  </si>
  <si>
    <t>O0622</t>
  </si>
  <si>
    <t>2025-11-26</t>
  </si>
  <si>
    <t>O0623</t>
  </si>
  <si>
    <t>2025-12-23</t>
  </si>
  <si>
    <t>O0624</t>
  </si>
  <si>
    <t>O0625</t>
  </si>
  <si>
    <t>O0626</t>
  </si>
  <si>
    <t>O0627</t>
  </si>
  <si>
    <t>2025-02-03</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</si>
  <si>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</si>
  <si>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</si>
  <si>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</si>
  <si>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</si>
  <si>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</si>
  <si>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</si>
  <si>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</si>
  <si>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</si>
  <si>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</si>
  <si>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</si>
  <si>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</si>
  <si>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</si>
  <si>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</si>
  <si>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</si>
  <si>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</si>
  <si>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</si>
  <si>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</si>
  <si>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</si>
  <si>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</si>
  <si>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</si>
  <si>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</si>
  <si>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2025-10-11</t>
  </si>
  <si>
    <t>O0649</t>
  </si>
  <si>
    <t>O0650</t>
  </si>
  <si>
    <t>2025-09-11</t>
  </si>
  <si>
    <t>Product_Name</t>
  </si>
  <si>
    <t>Category</t>
  </si>
  <si>
    <t>Cost_Price</t>
  </si>
  <si>
    <t>Laptop</t>
  </si>
  <si>
    <t>Electronics</t>
  </si>
  <si>
    <t>Mobile</t>
  </si>
  <si>
    <t>Headphones</t>
  </si>
  <si>
    <t>Chair</t>
  </si>
  <si>
    <t>Furniture</t>
  </si>
  <si>
    <t>Table</t>
  </si>
  <si>
    <t>Sofa</t>
  </si>
  <si>
    <t>Jacket</t>
  </si>
  <si>
    <t>Clothing</t>
  </si>
  <si>
    <t>Shoes</t>
  </si>
  <si>
    <t>Target_Sales</t>
  </si>
  <si>
    <t>Total_sales</t>
  </si>
  <si>
    <t>Total_Cost</t>
  </si>
  <si>
    <t>Profit</t>
  </si>
  <si>
    <t>Target_sales</t>
  </si>
  <si>
    <t>Achievement_%</t>
  </si>
  <si>
    <t>Row Labels</t>
  </si>
  <si>
    <t>Grand Total</t>
  </si>
  <si>
    <t>Sum of Total_sales</t>
  </si>
  <si>
    <t>Sum of Profit</t>
  </si>
  <si>
    <t>Total Sales</t>
  </si>
  <si>
    <t>Total Profit</t>
  </si>
  <si>
    <t>Pivot_Region</t>
  </si>
  <si>
    <t>Pivot_Category</t>
  </si>
  <si>
    <t>Pivot_SalesRep</t>
  </si>
  <si>
    <t>Pivot_Monthly</t>
  </si>
  <si>
    <t xml:space="preserve">Product_Name </t>
  </si>
  <si>
    <t>Sum of Quantity</t>
  </si>
  <si>
    <t>Sum of Target_sales</t>
  </si>
  <si>
    <t>Total Target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</si>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</sst>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amily val="2"/>
      <scheme val="minor"/>
    </font>
    <font>
      <b/>
      <sz val="20"/>
      <color rgb="FFCC00CC"/>
      <name val="Constantia"/>
      <family val="1"/>
    </font>
    <font>
      <b/>
      <sz val="12"/>
      <color theme="1"/>
      <name val="Calibri"/>
      <family val="2"/>
    </font>
    <font>
      <sz val="16"/>
      <color theme="1"/>
      <name val="Calibri"/>
      <family val="2"/>
      <scheme val="minor"/>
    </font>
    <font>
      <sz val="18"/>
      <color theme="1"/>
      <name val="Calibri"/>
      <family val="2"/>
      <scheme val="minor"/>
    </font>
    <font>
      <b/>
      <sz val="20"/>
      <color theme="1"/>
      <name val="Calibri"/>
      <family val="2"/>
      <scheme val="minor"/>
    </font>
    <font>
      <b/>
      <sz val="18"/>
      <color theme="0"/>
      <name val="Calibri"/>
      <family val="2"/>
    </font>
    <font>
      <sz val="14"/>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3" tint="0.79998168889431442"/>
        <bgColor indexed="64"/>
      </patternFill>
    </fill>
    <fill>
      <patternFill patternType="solid">
        <fgColor theme="8" tint="0.399975585192419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5">
    <xf numFmtId="0" fontId="0" fillId="0" borderId="0" xfId="0"/>
    <xf numFmtId="0" fontId="1" fillId="2" borderId="1" xfId="0" applyFont="1" applyFill="1" applyBorder="1"/>
    <xf numFmtId="0" fontId="2" fillId="0" borderId="1" xfId="0" applyFont="1" applyBorder="1"/>
    <xf numFmtId="0" fontId="2" fillId="0" borderId="3" xfId="0" applyFont="1" applyBorder="1"/>
    <xf numFmtId="164" fontId="2" fillId="0" borderId="4" xfId="0" applyNumberFormat="1" applyFont="1" applyBorder="1"/>
    <xf numFmtId="0" fontId="1" fillId="2" borderId="5" xfId="0" applyFont="1" applyFill="1" applyBorder="1"/>
    <xf numFmtId="0" fontId="1" fillId="2" borderId="6" xfId="0" applyFont="1" applyFill="1" applyBorder="1"/>
    <xf numFmtId="0" fontId="1" fillId="2" borderId="7" xfId="0" applyFont="1" applyFill="1" applyBorder="1"/>
    <xf numFmtId="0" fontId="2" fillId="0" borderId="8" xfId="0" applyFont="1" applyBorder="1"/>
    <xf numFmtId="0" fontId="2" fillId="0" borderId="9" xfId="0" applyFont="1" applyBorder="1"/>
    <xf numFmtId="164" fontId="2" fillId="0" borderId="10" xfId="0" applyNumberFormat="1" applyFont="1" applyBorder="1"/>
    <xf numFmtId="0" fontId="3" fillId="0" borderId="1" xfId="0" pivotButton="1" applyFont="1" applyBorder="1"/>
    <xf numFmtId="0" fontId="3" fillId="0" borderId="1" xfId="0" applyFont="1" applyBorder="1"/>
    <xf numFmtId="0" fontId="3" fillId="0" borderId="1" xfId="0" applyFont="1" applyBorder="1" applyAlignment="1">
      <alignment horizontal="left"/>
    </xf>
    <xf numFmtId="0" fontId="3" fillId="0" borderId="0" xfId="0" applyFont="1"/>
    <xf numFmtId="0" fontId="4" fillId="0" borderId="0" xfId="0" applyFont="1"/>
    <xf numFmtId="0" fontId="7" fillId="0" borderId="0" xfId="0" applyFont="1"/>
    <xf numFmtId="0" fontId="0" fillId="0" borderId="0" xfId="0" pivotButton="1"/>
    <xf numFmtId="0" fontId="8" fillId="0" borderId="0" xfId="0" applyFont="1"/>
    <xf numFmtId="0" fontId="0" fillId="0" borderId="0" xfId="0" applyAlignment="1">
      <alignment horizontal="left"/>
    </xf>
    <xf numFmtId="0" fontId="6" fillId="4" borderId="11" xfId="0" applyFont="1" applyFill="1" applyBorder="1" applyAlignment="1">
      <alignment horizontal="center" wrapText="1"/>
    </xf>
    <xf numFmtId="0" fontId="6" fillId="4" borderId="12" xfId="0" applyFont="1" applyFill="1" applyBorder="1" applyAlignment="1">
      <alignment horizontal="center" wrapText="1"/>
    </xf>
    <xf numFmtId="0" fontId="6" fillId="4" borderId="13" xfId="0" applyFont="1" applyFill="1" applyBorder="1" applyAlignment="1">
      <alignment horizontal="center" wrapText="1"/>
    </xf>
    <xf numFmtId="0" fontId="6" fillId="4" borderId="14" xfId="0" applyFont="1" applyFill="1" applyBorder="1" applyAlignment="1">
      <alignment horizontal="center" wrapText="1"/>
    </xf>
    <xf numFmtId="0" fontId="6" fillId="4" borderId="0" xfId="0" applyFont="1" applyFill="1" applyAlignment="1">
      <alignment horizontal="center" wrapText="1"/>
    </xf>
    <xf numFmtId="0" fontId="6" fillId="4" borderId="15" xfId="0" applyFont="1" applyFill="1" applyBorder="1" applyAlignment="1">
      <alignment horizontal="center" wrapText="1"/>
    </xf>
    <xf numFmtId="0" fontId="6" fillId="4" borderId="14" xfId="0" applyFont="1" applyFill="1" applyBorder="1" applyAlignment="1">
      <alignment horizontal="center" vertical="top"/>
    </xf>
    <xf numFmtId="0" fontId="6" fillId="4" borderId="0" xfId="0" applyFont="1" applyFill="1" applyAlignment="1">
      <alignment horizontal="center" vertical="top"/>
    </xf>
    <xf numFmtId="0" fontId="6" fillId="4" borderId="15" xfId="0" applyFont="1" applyFill="1" applyBorder="1" applyAlignment="1">
      <alignment horizontal="center" vertical="top"/>
    </xf>
    <xf numFmtId="0" fontId="6" fillId="4" borderId="16" xfId="0" applyFont="1" applyFill="1" applyBorder="1" applyAlignment="1">
      <alignment horizontal="center" vertical="top"/>
    </xf>
    <xf numFmtId="0" fontId="6" fillId="4" borderId="17" xfId="0" applyFont="1" applyFill="1" applyBorder="1" applyAlignment="1">
      <alignment horizontal="center" vertical="top"/>
    </xf>
    <xf numFmtId="0" fontId="6" fillId="4" borderId="18" xfId="0" applyFont="1" applyFill="1" applyBorder="1" applyAlignment="1">
      <alignment horizontal="center" vertical="top"/>
    </xf>
    <xf numFmtId="0" fontId="5" fillId="3" borderId="2" xfId="0" applyFont="1" applyFill="1" applyBorder="1" applyAlignment="1">
      <alignment horizontal="center" vertical="center"/>
    </xf>
    <xf numFmtId="0" fontId="5" fillId="3" borderId="0" xfId="0" applyFont="1" applyFill="1" applyAlignment="1">
      <alignment horizontal="center" vertical="center"/>
    </xf>
    <xf numFmtId="0" fontId="5" fillId="3" borderId="1" xfId="0" applyFont="1" applyFill="1" applyBorder="1" applyAlignment="1">
      <alignment horizontal="center" vertical="center"/>
    </xf>
  </cellXfs>
  <cellStyles count="1">
    <cellStyle name="Normal" xfId="0" builtinId="0"/>
  </cellStyles>
  <dxfs count="33">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font>
        <b/>
        <i val="0"/>
        <strike val="0"/>
        <condense val="0"/>
        <extend val="0"/>
        <outline val="0"/>
        <shadow val="0"/>
        <u val="none"/>
        <vertAlign val="baseline"/>
        <sz val="12"/>
        <color theme="1"/>
        <name val="Calibri"/>
        <family val="2"/>
        <scheme val="none"/>
      </font>
      <numFmt numFmtId="164" formatCode="0.00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dxf>
    <dxf>
      <border outline="0">
        <bottom style="thin">
          <color indexed="64"/>
        </bottom>
      </border>
    </dxf>
    <dxf>
      <font>
        <b/>
        <i val="0"/>
        <strike val="0"/>
        <condense val="0"/>
        <extend val="0"/>
        <outline val="0"/>
        <shadow val="0"/>
        <u val="none"/>
        <vertAlign val="baseline"/>
        <sz val="20"/>
        <color rgb="FFCC00CC"/>
        <name val="Constantia"/>
        <family val="1"/>
        <scheme val="none"/>
      </font>
      <fill>
        <patternFill patternType="solid">
          <fgColor indexed="64"/>
          <bgColor theme="5" tint="0.59999389629810485"/>
        </patternFill>
      </fill>
      <border diagonalUp="0" diagonalDown="0" outline="0">
        <left style="thin">
          <color indexed="64"/>
        </left>
        <right style="thin">
          <color indexed="64"/>
        </right>
        <top/>
        <bottom/>
      </border>
    </dxf>
  </dxfs>
  <tableStyles count="0" defaultTableStyle="TableStyleMedium9" defaultPivotStyle="PivotStyleLight16"/>
  <colors>
    <mruColors>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[Sales_Profit_Project.xlsx]Region Wise Sales &amp; Profit!PivotTable1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Wise Sales &amp; Profit'!$B$5</c:f>
              <c:strCache>
                <c:ptCount val="1"/>
                <c:pt idx="0">
                  <c:v>Sum of Total_sales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263-469C-825E-5647DD90C22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263-469C-825E-5647DD90C22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263-469C-825E-5647DD90C22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263-469C-825E-5647DD90C22D}"/>
              </c:ext>
            </c:extLst>
          </c:dPt>
          <c:cat>
            <c:strRef>
              <c:f>'Region Wise Sales &amp; Profit'!$A$6:$A$10</c:f>
              <c:strCache>
                <c:ptCount val="4"/>
                <c:pt idx="0">
                  <c:v>East</c:v>
                </c:pt>
                <c:pt idx="1">
                  <c:v>North</c:v>
                </c:pt>
                <c:pt idx="2">
                  <c:v>South</c:v>
                </c:pt>
                <c:pt idx="3">
                  <c:v>West</c:v>
                </c:pt>
              </c:strCache>
            </c:strRef>
          </c:cat>
          <c:val>
            <c:numRef>
              <c:f>'Region Wise Sales &amp; Profit'!$B$6:$B$10</c:f>
              <c:numCache>
                <c:formatCode>General</c:formatCode>
                <c:ptCount val="4"/>
                <c:pt idx="0">
                  <c:v>5026376</c:v>
                </c:pt>
                <c:pt idx="1">
                  <c:v>4896499</c:v>
                </c:pt>
                <c:pt idx="2">
                  <c:v>5543129</c:v>
                </c:pt>
                <c:pt idx="3">
                  <c:v>5888294</c:v>
                </c:pt>
              </c:numCache>
            </c:numRef>
          </c:val>
          <c:extLst>
            <c:ext xmlns:c16="http://schemas.microsoft.com/office/drawing/2014/chart" uri="{C3380CC4-5D6E-409C-BE32-E72D297353CC}">
              <c16:uniqueId val="{00000000-FBCF-4EA2-8508-D0E4DAAA8E75}"/>
            </c:ext>
          </c:extLst>
        </c:ser>
        <c:ser>
          <c:idx val="1"/>
          <c:order val="1"/>
          <c:tx>
            <c:strRef>
              <c:f>'Region Wise Sales &amp; Profit'!$C$5</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6263-469C-825E-5647DD90C22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6263-469C-825E-5647DD90C22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6263-469C-825E-5647DD90C22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6263-469C-825E-5647DD90C22D}"/>
              </c:ext>
            </c:extLst>
          </c:dPt>
          <c:cat>
            <c:strRef>
              <c:f>'Region Wise Sales &amp; Profit'!$A$6:$A$10</c:f>
              <c:strCache>
                <c:ptCount val="4"/>
                <c:pt idx="0">
                  <c:v>East</c:v>
                </c:pt>
                <c:pt idx="1">
                  <c:v>North</c:v>
                </c:pt>
                <c:pt idx="2">
                  <c:v>South</c:v>
                </c:pt>
                <c:pt idx="3">
                  <c:v>West</c:v>
                </c:pt>
              </c:strCache>
            </c:strRef>
          </c:cat>
          <c:val>
            <c:numRef>
              <c:f>'Region Wise Sales &amp; Profit'!$C$6:$C$10</c:f>
              <c:numCache>
                <c:formatCode>General</c:formatCode>
                <c:ptCount val="4"/>
                <c:pt idx="0">
                  <c:v>-7814124</c:v>
                </c:pt>
                <c:pt idx="1">
                  <c:v>-8391501</c:v>
                </c:pt>
                <c:pt idx="2">
                  <c:v>-5394371</c:v>
                </c:pt>
                <c:pt idx="3">
                  <c:v>-6969706</c:v>
                </c:pt>
              </c:numCache>
            </c:numRef>
          </c:val>
          <c:extLst>
            <c:ext xmlns:c16="http://schemas.microsoft.com/office/drawing/2014/chart" uri="{C3380CC4-5D6E-409C-BE32-E72D297353CC}">
              <c16:uniqueId val="{00000001-FBCF-4EA2-8508-D0E4DAAA8E7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[Sales_Profit_Project.xlsx]Category wise 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wise sales'!$B$5</c:f>
              <c:strCache>
                <c:ptCount val="1"/>
                <c:pt idx="0">
                  <c:v>Total</c:v>
                </c:pt>
              </c:strCache>
            </c:strRef>
          </c:tx>
          <c:spPr>
            <a:solidFill>
              <a:schemeClr val="accent1"/>
            </a:solidFill>
            <a:ln>
              <a:noFill/>
            </a:ln>
            <a:effectLst/>
          </c:spPr>
          <c:invertIfNegative val="0"/>
          <c:cat>
            <c:strRef>
              <c:f>'Category wise sales'!$A$6:$A$9</c:f>
              <c:strCache>
                <c:ptCount val="3"/>
                <c:pt idx="0">
                  <c:v>Clothing</c:v>
                </c:pt>
                <c:pt idx="1">
                  <c:v>Electronics</c:v>
                </c:pt>
                <c:pt idx="2">
                  <c:v>Furniture</c:v>
                </c:pt>
              </c:strCache>
            </c:strRef>
          </c:cat>
          <c:val>
            <c:numRef>
              <c:f>'Category wise sales'!$B$6:$B$9</c:f>
              <c:numCache>
                <c:formatCode>General</c:formatCode>
                <c:ptCount val="3"/>
                <c:pt idx="0">
                  <c:v>5877819</c:v>
                </c:pt>
                <c:pt idx="1">
                  <c:v>7954974</c:v>
                </c:pt>
                <c:pt idx="2">
                  <c:v>7521505</c:v>
                </c:pt>
              </c:numCache>
            </c:numRef>
          </c:val>
          <c:extLst>
            <c:ext xmlns:c16="http://schemas.microsoft.com/office/drawing/2014/chart" uri="{C3380CC4-5D6E-409C-BE32-E72D297353CC}">
              <c16:uniqueId val="{00000000-E063-4728-9202-BACDFD37007C}"/>
            </c:ext>
          </c:extLst>
        </c:ser>
        <c:dLbls>
          <c:showLegendKey val="0"/>
          <c:showVal val="0"/>
          <c:showCatName val="0"/>
          <c:showSerName val="0"/>
          <c:showPercent val="0"/>
          <c:showBubbleSize val="0"/>
        </c:dLbls>
        <c:gapWidth val="150"/>
        <c:overlap val="100"/>
        <c:axId val="1385822288"/>
        <c:axId val="1385823248"/>
      </c:barChart>
      <c:catAx>
        <c:axId val="138582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823248"/>
        <c:crosses val="autoZero"/>
        <c:auto val="1"/>
        <c:lblAlgn val="ctr"/>
        <c:lblOffset val="100"/>
        <c:noMultiLvlLbl val="0"/>
      </c:catAx>
      <c:valAx>
        <c:axId val="138582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82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[Sales_Profit_Project.xlsx]Sales Rep Performance!PivotTable3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Rep Performance'!$B$5</c:f>
              <c:strCache>
                <c:ptCount val="1"/>
                <c:pt idx="0">
                  <c:v>Sum of Total_sales</c:v>
                </c:pt>
              </c:strCache>
            </c:strRef>
          </c:tx>
          <c:spPr>
            <a:solidFill>
              <a:schemeClr val="accent1"/>
            </a:solidFill>
            <a:ln>
              <a:noFill/>
            </a:ln>
            <a:effectLst/>
          </c:spPr>
          <c:invertIfNegative val="0"/>
          <c:cat>
            <c:strRef>
              <c:f>'Sales Rep Performance'!$A$6:$A$14</c:f>
              <c:strCache>
                <c:ptCount val="8"/>
                <c:pt idx="0">
                  <c:v>Amit</c:v>
                </c:pt>
                <c:pt idx="1">
                  <c:v>Arjun</c:v>
                </c:pt>
                <c:pt idx="2">
                  <c:v>Karan</c:v>
                </c:pt>
                <c:pt idx="3">
                  <c:v>Neha</c:v>
                </c:pt>
                <c:pt idx="4">
                  <c:v>Priya</c:v>
                </c:pt>
                <c:pt idx="5">
                  <c:v>Rahul</c:v>
                </c:pt>
                <c:pt idx="6">
                  <c:v>Sneha</c:v>
                </c:pt>
                <c:pt idx="7">
                  <c:v>Vikas</c:v>
                </c:pt>
              </c:strCache>
            </c:strRef>
          </c:cat>
          <c:val>
            <c:numRef>
              <c:f>'Sales Rep Performance'!$B$6:$B$14</c:f>
              <c:numCache>
                <c:formatCode>General</c:formatCode>
                <c:ptCount val="8"/>
                <c:pt idx="0">
                  <c:v>2891462</c:v>
                </c:pt>
                <c:pt idx="1">
                  <c:v>2961627</c:v>
                </c:pt>
                <c:pt idx="2">
                  <c:v>2414107</c:v>
                </c:pt>
                <c:pt idx="3">
                  <c:v>2803251</c:v>
                </c:pt>
                <c:pt idx="4">
                  <c:v>2622263</c:v>
                </c:pt>
                <c:pt idx="5">
                  <c:v>2444343</c:v>
                </c:pt>
                <c:pt idx="6">
                  <c:v>2536155</c:v>
                </c:pt>
                <c:pt idx="7">
                  <c:v>2681090</c:v>
                </c:pt>
              </c:numCache>
            </c:numRef>
          </c:val>
          <c:extLst>
            <c:ext xmlns:c16="http://schemas.microsoft.com/office/drawing/2014/chart" uri="{C3380CC4-5D6E-409C-BE32-E72D297353CC}">
              <c16:uniqueId val="{00000000-89F1-4501-9FDA-F046980BA1EE}"/>
            </c:ext>
          </c:extLst>
        </c:ser>
        <c:ser>
          <c:idx val="1"/>
          <c:order val="1"/>
          <c:tx>
            <c:strRef>
              <c:f>'Sales Rep Performance'!$C$5</c:f>
              <c:strCache>
                <c:ptCount val="1"/>
                <c:pt idx="0">
                  <c:v>Sum of Profit</c:v>
                </c:pt>
              </c:strCache>
            </c:strRef>
          </c:tx>
          <c:spPr>
            <a:solidFill>
              <a:schemeClr val="accent2"/>
            </a:solidFill>
            <a:ln>
              <a:noFill/>
            </a:ln>
            <a:effectLst/>
          </c:spPr>
          <c:invertIfNegative val="0"/>
          <c:cat>
            <c:strRef>
              <c:f>'Sales Rep Performance'!$A$6:$A$14</c:f>
              <c:strCache>
                <c:ptCount val="8"/>
                <c:pt idx="0">
                  <c:v>Amit</c:v>
                </c:pt>
                <c:pt idx="1">
                  <c:v>Arjun</c:v>
                </c:pt>
                <c:pt idx="2">
                  <c:v>Karan</c:v>
                </c:pt>
                <c:pt idx="3">
                  <c:v>Neha</c:v>
                </c:pt>
                <c:pt idx="4">
                  <c:v>Priya</c:v>
                </c:pt>
                <c:pt idx="5">
                  <c:v>Rahul</c:v>
                </c:pt>
                <c:pt idx="6">
                  <c:v>Sneha</c:v>
                </c:pt>
                <c:pt idx="7">
                  <c:v>Vikas</c:v>
                </c:pt>
              </c:strCache>
            </c:strRef>
          </c:cat>
          <c:val>
            <c:numRef>
              <c:f>'Sales Rep Performance'!$C$6:$C$14</c:f>
              <c:numCache>
                <c:formatCode>General</c:formatCode>
                <c:ptCount val="8"/>
                <c:pt idx="0">
                  <c:v>-2620038</c:v>
                </c:pt>
                <c:pt idx="1">
                  <c:v>-2771373</c:v>
                </c:pt>
                <c:pt idx="2">
                  <c:v>-3345893</c:v>
                </c:pt>
                <c:pt idx="3">
                  <c:v>-3251749</c:v>
                </c:pt>
                <c:pt idx="4">
                  <c:v>-4269237</c:v>
                </c:pt>
                <c:pt idx="5">
                  <c:v>-3474157</c:v>
                </c:pt>
                <c:pt idx="6">
                  <c:v>-4874845</c:v>
                </c:pt>
                <c:pt idx="7">
                  <c:v>-3962410</c:v>
                </c:pt>
              </c:numCache>
            </c:numRef>
          </c:val>
          <c:extLst>
            <c:ext xmlns:c16="http://schemas.microsoft.com/office/drawing/2014/chart" uri="{C3380CC4-5D6E-409C-BE32-E72D297353CC}">
              <c16:uniqueId val="{00000001-89F1-4501-9FDA-F046980BA1EE}"/>
            </c:ext>
          </c:extLst>
        </c:ser>
        <c:dLbls>
          <c:showLegendKey val="0"/>
          <c:showVal val="0"/>
          <c:showCatName val="0"/>
          <c:showSerName val="0"/>
          <c:showPercent val="0"/>
          <c:showBubbleSize val="0"/>
        </c:dLbls>
        <c:gapWidth val="150"/>
        <c:overlap val="100"/>
        <c:axId val="167080271"/>
        <c:axId val="167082191"/>
      </c:barChart>
      <c:catAx>
        <c:axId val="16708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82191"/>
        <c:crosses val="autoZero"/>
        <c:auto val="1"/>
        <c:lblAlgn val="ctr"/>
        <c:lblOffset val="100"/>
        <c:noMultiLvlLbl val="0"/>
      </c:catAx>
      <c:valAx>
        <c:axId val="167082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8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[Sales_Profit_Project.xlsx]Monthly Trend!PivotTable4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Trend'!$A$6:$A$304</c:f>
              <c:strCache>
                <c:ptCount val="298"/>
                <c:pt idx="0">
                  <c:v>2025-01-01</c:v>
                </c:pt>
                <c:pt idx="1">
                  <c:v>2025-01-02</c:v>
                </c:pt>
                <c:pt idx="2">
                  <c:v>2025-01-03</c:v>
                </c:pt>
                <c:pt idx="3">
                  <c:v>2025-01-04</c:v>
                </c:pt>
                <c:pt idx="4">
                  <c:v>2025-01-05</c:v>
                </c:pt>
                <c:pt idx="5">
                  <c:v>2025-01-06</c:v>
                </c:pt>
                <c:pt idx="6">
                  <c:v>2025-01-07</c:v>
                </c:pt>
                <c:pt idx="7">
                  <c:v>2025-01-08</c:v>
                </c:pt>
                <c:pt idx="8">
                  <c:v>2025-01-09</c:v>
                </c:pt>
                <c:pt idx="9">
                  <c:v>2025-01-10</c:v>
                </c:pt>
                <c:pt idx="10">
                  <c:v>2025-01-11</c:v>
                </c:pt>
                <c:pt idx="11">
                  <c:v>2025-01-12</c:v>
                </c:pt>
                <c:pt idx="12">
                  <c:v>2025-01-13</c:v>
                </c:pt>
                <c:pt idx="13">
                  <c:v>2025-01-14</c:v>
                </c:pt>
                <c:pt idx="14">
                  <c:v>2025-01-15</c:v>
                </c:pt>
                <c:pt idx="15">
                  <c:v>2025-01-16</c:v>
                </c:pt>
                <c:pt idx="16">
                  <c:v>2025-01-18</c:v>
                </c:pt>
                <c:pt idx="17">
                  <c:v>2025-01-19</c:v>
                </c:pt>
                <c:pt idx="18">
                  <c:v>2025-01-20</c:v>
                </c:pt>
                <c:pt idx="19">
                  <c:v>2025-01-21</c:v>
                </c:pt>
                <c:pt idx="20">
                  <c:v>2025-01-22</c:v>
                </c:pt>
                <c:pt idx="21">
                  <c:v>2025-01-23</c:v>
                </c:pt>
                <c:pt idx="22">
                  <c:v>2025-01-24</c:v>
                </c:pt>
                <c:pt idx="23">
                  <c:v>2025-01-25</c:v>
                </c:pt>
                <c:pt idx="24">
                  <c:v>2025-01-26</c:v>
                </c:pt>
                <c:pt idx="25">
                  <c:v>2025-01-27</c:v>
                </c:pt>
                <c:pt idx="26">
                  <c:v>2025-01-28</c:v>
                </c:pt>
                <c:pt idx="27">
                  <c:v>2025-01-29</c:v>
                </c:pt>
                <c:pt idx="28">
                  <c:v>2025-01-30</c:v>
                </c:pt>
                <c:pt idx="29">
                  <c:v>2025-01-31</c:v>
                </c:pt>
                <c:pt idx="30">
                  <c:v>2025-02-01</c:v>
                </c:pt>
                <c:pt idx="31">
                  <c:v>2025-02-02</c:v>
                </c:pt>
                <c:pt idx="32">
                  <c:v>2025-02-03</c:v>
                </c:pt>
                <c:pt idx="33">
                  <c:v>2025-02-04</c:v>
                </c:pt>
                <c:pt idx="34">
                  <c:v>2025-02-05</c:v>
                </c:pt>
                <c:pt idx="35">
                  <c:v>2025-02-07</c:v>
                </c:pt>
                <c:pt idx="36">
                  <c:v>2025-02-08</c:v>
                </c:pt>
                <c:pt idx="37">
                  <c:v>2025-02-09</c:v>
                </c:pt>
                <c:pt idx="38">
                  <c:v>2025-02-10</c:v>
                </c:pt>
                <c:pt idx="39">
                  <c:v>2025-02-11</c:v>
                </c:pt>
                <c:pt idx="40">
                  <c:v>2025-02-13</c:v>
                </c:pt>
                <c:pt idx="41">
                  <c:v>2025-02-14</c:v>
                </c:pt>
                <c:pt idx="42">
                  <c:v>2025-02-15</c:v>
                </c:pt>
                <c:pt idx="43">
                  <c:v>2025-02-16</c:v>
                </c:pt>
                <c:pt idx="44">
                  <c:v>2025-02-17</c:v>
                </c:pt>
                <c:pt idx="45">
                  <c:v>2025-02-19</c:v>
                </c:pt>
                <c:pt idx="46">
                  <c:v>2025-02-20</c:v>
                </c:pt>
                <c:pt idx="47">
                  <c:v>2025-02-21</c:v>
                </c:pt>
                <c:pt idx="48">
                  <c:v>2025-02-24</c:v>
                </c:pt>
                <c:pt idx="49">
                  <c:v>2025-02-25</c:v>
                </c:pt>
                <c:pt idx="50">
                  <c:v>2025-02-26</c:v>
                </c:pt>
                <c:pt idx="51">
                  <c:v>2025-03-01</c:v>
                </c:pt>
                <c:pt idx="52">
                  <c:v>2025-03-02</c:v>
                </c:pt>
                <c:pt idx="53">
                  <c:v>2025-03-03</c:v>
                </c:pt>
                <c:pt idx="54">
                  <c:v>2025-03-04</c:v>
                </c:pt>
                <c:pt idx="55">
                  <c:v>2025-03-05</c:v>
                </c:pt>
                <c:pt idx="56">
                  <c:v>2025-03-08</c:v>
                </c:pt>
                <c:pt idx="57">
                  <c:v>2025-03-11</c:v>
                </c:pt>
                <c:pt idx="58">
                  <c:v>2025-03-12</c:v>
                </c:pt>
                <c:pt idx="59">
                  <c:v>2025-03-13</c:v>
                </c:pt>
                <c:pt idx="60">
                  <c:v>2025-03-14</c:v>
                </c:pt>
                <c:pt idx="61">
                  <c:v>2025-03-15</c:v>
                </c:pt>
                <c:pt idx="62">
                  <c:v>2025-03-16</c:v>
                </c:pt>
                <c:pt idx="63">
                  <c:v>2025-03-17</c:v>
                </c:pt>
                <c:pt idx="64">
                  <c:v>2025-03-18</c:v>
                </c:pt>
                <c:pt idx="65">
                  <c:v>2025-03-19</c:v>
                </c:pt>
                <c:pt idx="66">
                  <c:v>2025-03-22</c:v>
                </c:pt>
                <c:pt idx="67">
                  <c:v>2025-03-24</c:v>
                </c:pt>
                <c:pt idx="68">
                  <c:v>2025-03-25</c:v>
                </c:pt>
                <c:pt idx="69">
                  <c:v>2025-03-28</c:v>
                </c:pt>
                <c:pt idx="70">
                  <c:v>2025-03-29</c:v>
                </c:pt>
                <c:pt idx="71">
                  <c:v>2025-03-30</c:v>
                </c:pt>
                <c:pt idx="72">
                  <c:v>2025-03-31</c:v>
                </c:pt>
                <c:pt idx="73">
                  <c:v>2025-04-01</c:v>
                </c:pt>
                <c:pt idx="74">
                  <c:v>2025-04-02</c:v>
                </c:pt>
                <c:pt idx="75">
                  <c:v>2025-04-03</c:v>
                </c:pt>
                <c:pt idx="76">
                  <c:v>2025-04-04</c:v>
                </c:pt>
                <c:pt idx="77">
                  <c:v>2025-04-05</c:v>
                </c:pt>
                <c:pt idx="78">
                  <c:v>2025-04-06</c:v>
                </c:pt>
                <c:pt idx="79">
                  <c:v>2025-04-10</c:v>
                </c:pt>
                <c:pt idx="80">
                  <c:v>2025-04-13</c:v>
                </c:pt>
                <c:pt idx="81">
                  <c:v>2025-04-15</c:v>
                </c:pt>
                <c:pt idx="82">
                  <c:v>2025-04-16</c:v>
                </c:pt>
                <c:pt idx="83">
                  <c:v>2025-04-17</c:v>
                </c:pt>
                <c:pt idx="84">
                  <c:v>2025-04-18</c:v>
                </c:pt>
                <c:pt idx="85">
                  <c:v>2025-04-19</c:v>
                </c:pt>
                <c:pt idx="86">
                  <c:v>2025-04-20</c:v>
                </c:pt>
                <c:pt idx="87">
                  <c:v>2025-04-21</c:v>
                </c:pt>
                <c:pt idx="88">
                  <c:v>2025-04-22</c:v>
                </c:pt>
                <c:pt idx="89">
                  <c:v>2025-04-24</c:v>
                </c:pt>
                <c:pt idx="90">
                  <c:v>2025-04-25</c:v>
                </c:pt>
                <c:pt idx="91">
                  <c:v>2025-04-27</c:v>
                </c:pt>
                <c:pt idx="92">
                  <c:v>2025-04-28</c:v>
                </c:pt>
                <c:pt idx="93">
                  <c:v>2025-04-29</c:v>
                </c:pt>
                <c:pt idx="94">
                  <c:v>2025-04-30</c:v>
                </c:pt>
                <c:pt idx="95">
                  <c:v>2025-05-01</c:v>
                </c:pt>
                <c:pt idx="96">
                  <c:v>2025-05-02</c:v>
                </c:pt>
                <c:pt idx="97">
                  <c:v>2025-05-03</c:v>
                </c:pt>
                <c:pt idx="98">
                  <c:v>2025-05-04</c:v>
                </c:pt>
                <c:pt idx="99">
                  <c:v>2025-05-06</c:v>
                </c:pt>
                <c:pt idx="100">
                  <c:v>2025-05-08</c:v>
                </c:pt>
                <c:pt idx="101">
                  <c:v>2025-05-09</c:v>
                </c:pt>
                <c:pt idx="102">
                  <c:v>2025-05-10</c:v>
                </c:pt>
                <c:pt idx="103">
                  <c:v>2025-05-11</c:v>
                </c:pt>
                <c:pt idx="104">
                  <c:v>2025-05-13</c:v>
                </c:pt>
                <c:pt idx="105">
                  <c:v>2025-05-14</c:v>
                </c:pt>
                <c:pt idx="106">
                  <c:v>2025-05-15</c:v>
                </c:pt>
                <c:pt idx="107">
                  <c:v>2025-05-16</c:v>
                </c:pt>
                <c:pt idx="108">
                  <c:v>2025-05-17</c:v>
                </c:pt>
                <c:pt idx="109">
                  <c:v>2025-05-18</c:v>
                </c:pt>
                <c:pt idx="110">
                  <c:v>2025-05-20</c:v>
                </c:pt>
                <c:pt idx="111">
                  <c:v>2025-05-21</c:v>
                </c:pt>
                <c:pt idx="112">
                  <c:v>2025-05-22</c:v>
                </c:pt>
                <c:pt idx="113">
                  <c:v>2025-05-23</c:v>
                </c:pt>
                <c:pt idx="114">
                  <c:v>2025-05-25</c:v>
                </c:pt>
                <c:pt idx="115">
                  <c:v>2025-05-26</c:v>
                </c:pt>
                <c:pt idx="116">
                  <c:v>2025-05-27</c:v>
                </c:pt>
                <c:pt idx="117">
                  <c:v>2025-05-29</c:v>
                </c:pt>
                <c:pt idx="118">
                  <c:v>2025-05-30</c:v>
                </c:pt>
                <c:pt idx="119">
                  <c:v>2025-05-31</c:v>
                </c:pt>
                <c:pt idx="120">
                  <c:v>2025-06-01</c:v>
                </c:pt>
                <c:pt idx="121">
                  <c:v>2025-06-02</c:v>
                </c:pt>
                <c:pt idx="122">
                  <c:v>2025-06-03</c:v>
                </c:pt>
                <c:pt idx="123">
                  <c:v>2025-06-04</c:v>
                </c:pt>
                <c:pt idx="124">
                  <c:v>2025-06-05</c:v>
                </c:pt>
                <c:pt idx="125">
                  <c:v>2025-06-06</c:v>
                </c:pt>
                <c:pt idx="126">
                  <c:v>2025-06-07</c:v>
                </c:pt>
                <c:pt idx="127">
                  <c:v>2025-06-08</c:v>
                </c:pt>
                <c:pt idx="128">
                  <c:v>2025-06-10</c:v>
                </c:pt>
                <c:pt idx="129">
                  <c:v>2025-06-11</c:v>
                </c:pt>
                <c:pt idx="130">
                  <c:v>2025-06-12</c:v>
                </c:pt>
                <c:pt idx="131">
                  <c:v>2025-06-13</c:v>
                </c:pt>
                <c:pt idx="132">
                  <c:v>2025-06-15</c:v>
                </c:pt>
                <c:pt idx="133">
                  <c:v>2025-06-16</c:v>
                </c:pt>
                <c:pt idx="134">
                  <c:v>2025-06-17</c:v>
                </c:pt>
                <c:pt idx="135">
                  <c:v>2025-06-21</c:v>
                </c:pt>
                <c:pt idx="136">
                  <c:v>2025-06-22</c:v>
                </c:pt>
                <c:pt idx="137">
                  <c:v>2025-06-23</c:v>
                </c:pt>
                <c:pt idx="138">
                  <c:v>2025-06-25</c:v>
                </c:pt>
                <c:pt idx="139">
                  <c:v>2025-06-26</c:v>
                </c:pt>
                <c:pt idx="140">
                  <c:v>2025-06-27</c:v>
                </c:pt>
                <c:pt idx="141">
                  <c:v>2025-06-28</c:v>
                </c:pt>
                <c:pt idx="142">
                  <c:v>2025-06-30</c:v>
                </c:pt>
                <c:pt idx="143">
                  <c:v>2025-07-01</c:v>
                </c:pt>
                <c:pt idx="144">
                  <c:v>2025-07-02</c:v>
                </c:pt>
                <c:pt idx="145">
                  <c:v>2025-07-04</c:v>
                </c:pt>
                <c:pt idx="146">
                  <c:v>2025-07-06</c:v>
                </c:pt>
                <c:pt idx="147">
                  <c:v>2025-07-07</c:v>
                </c:pt>
                <c:pt idx="148">
                  <c:v>2025-07-08</c:v>
                </c:pt>
                <c:pt idx="149">
                  <c:v>2025-07-10</c:v>
                </c:pt>
                <c:pt idx="150">
                  <c:v>2025-07-11</c:v>
                </c:pt>
                <c:pt idx="151">
                  <c:v>2025-07-12</c:v>
                </c:pt>
                <c:pt idx="152">
                  <c:v>2025-07-13</c:v>
                </c:pt>
                <c:pt idx="153">
                  <c:v>2025-07-14</c:v>
                </c:pt>
                <c:pt idx="154">
                  <c:v>2025-07-15</c:v>
                </c:pt>
                <c:pt idx="155">
                  <c:v>2025-07-16</c:v>
                </c:pt>
                <c:pt idx="156">
                  <c:v>2025-07-17</c:v>
                </c:pt>
                <c:pt idx="157">
                  <c:v>2025-07-18</c:v>
                </c:pt>
                <c:pt idx="158">
                  <c:v>2025-07-19</c:v>
                </c:pt>
                <c:pt idx="159">
                  <c:v>2025-07-20</c:v>
                </c:pt>
                <c:pt idx="160">
                  <c:v>2025-07-21</c:v>
                </c:pt>
                <c:pt idx="161">
                  <c:v>2025-07-23</c:v>
                </c:pt>
                <c:pt idx="162">
                  <c:v>2025-07-24</c:v>
                </c:pt>
                <c:pt idx="163">
                  <c:v>2025-07-25</c:v>
                </c:pt>
                <c:pt idx="164">
                  <c:v>2025-07-26</c:v>
                </c:pt>
                <c:pt idx="165">
                  <c:v>2025-07-27</c:v>
                </c:pt>
                <c:pt idx="166">
                  <c:v>2025-07-28</c:v>
                </c:pt>
                <c:pt idx="167">
                  <c:v>2025-07-29</c:v>
                </c:pt>
                <c:pt idx="168">
                  <c:v>2025-07-30</c:v>
                </c:pt>
                <c:pt idx="169">
                  <c:v>2025-07-31</c:v>
                </c:pt>
                <c:pt idx="170">
                  <c:v>2025-08-01</c:v>
                </c:pt>
                <c:pt idx="171">
                  <c:v>2025-08-02</c:v>
                </c:pt>
                <c:pt idx="172">
                  <c:v>2025-08-03</c:v>
                </c:pt>
                <c:pt idx="173">
                  <c:v>2025-08-04</c:v>
                </c:pt>
                <c:pt idx="174">
                  <c:v>2025-08-05</c:v>
                </c:pt>
                <c:pt idx="175">
                  <c:v>2025-08-06</c:v>
                </c:pt>
                <c:pt idx="176">
                  <c:v>2025-08-07</c:v>
                </c:pt>
                <c:pt idx="177">
                  <c:v>2025-08-08</c:v>
                </c:pt>
                <c:pt idx="178">
                  <c:v>2025-08-10</c:v>
                </c:pt>
                <c:pt idx="179">
                  <c:v>2025-08-11</c:v>
                </c:pt>
                <c:pt idx="180">
                  <c:v>2025-08-12</c:v>
                </c:pt>
                <c:pt idx="181">
                  <c:v>2025-08-13</c:v>
                </c:pt>
                <c:pt idx="182">
                  <c:v>2025-08-14</c:v>
                </c:pt>
                <c:pt idx="183">
                  <c:v>2025-08-15</c:v>
                </c:pt>
                <c:pt idx="184">
                  <c:v>2025-08-16</c:v>
                </c:pt>
                <c:pt idx="185">
                  <c:v>2025-08-17</c:v>
                </c:pt>
                <c:pt idx="186">
                  <c:v>2025-08-18</c:v>
                </c:pt>
                <c:pt idx="187">
                  <c:v>2025-08-19</c:v>
                </c:pt>
                <c:pt idx="188">
                  <c:v>2025-08-20</c:v>
                </c:pt>
                <c:pt idx="189">
                  <c:v>2025-08-21</c:v>
                </c:pt>
                <c:pt idx="190">
                  <c:v>2025-08-23</c:v>
                </c:pt>
                <c:pt idx="191">
                  <c:v>2025-08-24</c:v>
                </c:pt>
                <c:pt idx="192">
                  <c:v>2025-08-25</c:v>
                </c:pt>
                <c:pt idx="193">
                  <c:v>2025-08-28</c:v>
                </c:pt>
                <c:pt idx="194">
                  <c:v>2025-08-29</c:v>
                </c:pt>
                <c:pt idx="195">
                  <c:v>2025-08-30</c:v>
                </c:pt>
                <c:pt idx="196">
                  <c:v>2025-08-31</c:v>
                </c:pt>
                <c:pt idx="197">
                  <c:v>2025-09-01</c:v>
                </c:pt>
                <c:pt idx="198">
                  <c:v>2025-09-02</c:v>
                </c:pt>
                <c:pt idx="199">
                  <c:v>2025-09-03</c:v>
                </c:pt>
                <c:pt idx="200">
                  <c:v>2025-09-05</c:v>
                </c:pt>
                <c:pt idx="201">
                  <c:v>2025-09-06</c:v>
                </c:pt>
                <c:pt idx="202">
                  <c:v>2025-09-07</c:v>
                </c:pt>
                <c:pt idx="203">
                  <c:v>2025-09-08</c:v>
                </c:pt>
                <c:pt idx="204">
                  <c:v>2025-09-09</c:v>
                </c:pt>
                <c:pt idx="205">
                  <c:v>2025-09-10</c:v>
                </c:pt>
                <c:pt idx="206">
                  <c:v>2025-09-11</c:v>
                </c:pt>
                <c:pt idx="207">
                  <c:v>2025-09-13</c:v>
                </c:pt>
                <c:pt idx="208">
                  <c:v>2025-09-14</c:v>
                </c:pt>
                <c:pt idx="209">
                  <c:v>2025-09-15</c:v>
                </c:pt>
                <c:pt idx="210">
                  <c:v>2025-09-18</c:v>
                </c:pt>
                <c:pt idx="211">
                  <c:v>2025-09-19</c:v>
                </c:pt>
                <c:pt idx="212">
                  <c:v>2025-09-23</c:v>
                </c:pt>
                <c:pt idx="213">
                  <c:v>2025-09-24</c:v>
                </c:pt>
                <c:pt idx="214">
                  <c:v>2025-09-26</c:v>
                </c:pt>
                <c:pt idx="215">
                  <c:v>2025-09-27</c:v>
                </c:pt>
                <c:pt idx="216">
                  <c:v>2025-09-28</c:v>
                </c:pt>
                <c:pt idx="217">
                  <c:v>2025-09-29</c:v>
                </c:pt>
                <c:pt idx="218">
                  <c:v>2025-09-30</c:v>
                </c:pt>
                <c:pt idx="219">
                  <c:v>2025-10-01</c:v>
                </c:pt>
                <c:pt idx="220">
                  <c:v>2025-10-02</c:v>
                </c:pt>
                <c:pt idx="221">
                  <c:v>2025-10-03</c:v>
                </c:pt>
                <c:pt idx="222">
                  <c:v>2025-10-04</c:v>
                </c:pt>
                <c:pt idx="223">
                  <c:v>2025-10-05</c:v>
                </c:pt>
                <c:pt idx="224">
                  <c:v>2025-10-08</c:v>
                </c:pt>
                <c:pt idx="225">
                  <c:v>2025-10-09</c:v>
                </c:pt>
                <c:pt idx="226">
                  <c:v>2025-10-10</c:v>
                </c:pt>
                <c:pt idx="227">
                  <c:v>2025-10-11</c:v>
                </c:pt>
                <c:pt idx="228">
                  <c:v>2025-10-12</c:v>
                </c:pt>
                <c:pt idx="229">
                  <c:v>2025-10-13</c:v>
                </c:pt>
                <c:pt idx="230">
                  <c:v>2025-10-14</c:v>
                </c:pt>
                <c:pt idx="231">
                  <c:v>2025-10-15</c:v>
                </c:pt>
                <c:pt idx="232">
                  <c:v>2025-10-16</c:v>
                </c:pt>
                <c:pt idx="233">
                  <c:v>2025-10-17</c:v>
                </c:pt>
                <c:pt idx="234">
                  <c:v>2025-10-18</c:v>
                </c:pt>
                <c:pt idx="235">
                  <c:v>2025-10-19</c:v>
                </c:pt>
                <c:pt idx="236">
                  <c:v>2025-10-20</c:v>
                </c:pt>
                <c:pt idx="237">
                  <c:v>2025-10-21</c:v>
                </c:pt>
                <c:pt idx="238">
                  <c:v>2025-10-22</c:v>
                </c:pt>
                <c:pt idx="239">
                  <c:v>2025-10-23</c:v>
                </c:pt>
                <c:pt idx="240">
                  <c:v>2025-10-24</c:v>
                </c:pt>
                <c:pt idx="241">
                  <c:v>2025-10-25</c:v>
                </c:pt>
                <c:pt idx="242">
                  <c:v>2025-10-26</c:v>
                </c:pt>
                <c:pt idx="243">
                  <c:v>2025-10-27</c:v>
                </c:pt>
                <c:pt idx="244">
                  <c:v>2025-10-28</c:v>
                </c:pt>
                <c:pt idx="245">
                  <c:v>2025-10-29</c:v>
                </c:pt>
                <c:pt idx="246">
                  <c:v>2025-10-30</c:v>
                </c:pt>
                <c:pt idx="247">
                  <c:v>2025-10-31</c:v>
                </c:pt>
                <c:pt idx="248">
                  <c:v>2025-11-01</c:v>
                </c:pt>
                <c:pt idx="249">
                  <c:v>2025-11-02</c:v>
                </c:pt>
                <c:pt idx="250">
                  <c:v>2025-11-03</c:v>
                </c:pt>
                <c:pt idx="251">
                  <c:v>2025-11-04</c:v>
                </c:pt>
                <c:pt idx="252">
                  <c:v>2025-11-05</c:v>
                </c:pt>
                <c:pt idx="253">
                  <c:v>2025-11-06</c:v>
                </c:pt>
                <c:pt idx="254">
                  <c:v>2025-11-07</c:v>
                </c:pt>
                <c:pt idx="255">
                  <c:v>2025-11-08</c:v>
                </c:pt>
                <c:pt idx="256">
                  <c:v>2025-11-09</c:v>
                </c:pt>
                <c:pt idx="257">
                  <c:v>2025-11-10</c:v>
                </c:pt>
                <c:pt idx="258">
                  <c:v>2025-11-11</c:v>
                </c:pt>
                <c:pt idx="259">
                  <c:v>2025-11-12</c:v>
                </c:pt>
                <c:pt idx="260">
                  <c:v>2025-11-13</c:v>
                </c:pt>
                <c:pt idx="261">
                  <c:v>2025-11-14</c:v>
                </c:pt>
                <c:pt idx="262">
                  <c:v>2025-11-15</c:v>
                </c:pt>
                <c:pt idx="263">
                  <c:v>2025-11-17</c:v>
                </c:pt>
                <c:pt idx="264">
                  <c:v>2025-11-18</c:v>
                </c:pt>
                <c:pt idx="265">
                  <c:v>2025-11-19</c:v>
                </c:pt>
                <c:pt idx="266">
                  <c:v>2025-11-21</c:v>
                </c:pt>
                <c:pt idx="267">
                  <c:v>2025-11-23</c:v>
                </c:pt>
                <c:pt idx="268">
                  <c:v>2025-11-24</c:v>
                </c:pt>
                <c:pt idx="269">
                  <c:v>2025-11-25</c:v>
                </c:pt>
                <c:pt idx="270">
                  <c:v>2025-11-26</c:v>
                </c:pt>
                <c:pt idx="271">
                  <c:v>2025-11-27</c:v>
                </c:pt>
                <c:pt idx="272">
                  <c:v>2025-11-28</c:v>
                </c:pt>
                <c:pt idx="273">
                  <c:v>2025-12-01</c:v>
                </c:pt>
                <c:pt idx="274">
                  <c:v>2025-12-02</c:v>
                </c:pt>
                <c:pt idx="275">
                  <c:v>2025-12-03</c:v>
                </c:pt>
                <c:pt idx="276">
                  <c:v>2025-12-04</c:v>
                </c:pt>
                <c:pt idx="277">
                  <c:v>2025-12-05</c:v>
                </c:pt>
                <c:pt idx="278">
                  <c:v>2025-12-06</c:v>
                </c:pt>
                <c:pt idx="279">
                  <c:v>2025-12-08</c:v>
                </c:pt>
                <c:pt idx="280">
                  <c:v>2025-12-09</c:v>
                </c:pt>
                <c:pt idx="281">
                  <c:v>2025-12-11</c:v>
                </c:pt>
                <c:pt idx="282">
                  <c:v>2025-12-12</c:v>
                </c:pt>
                <c:pt idx="283">
                  <c:v>2025-12-13</c:v>
                </c:pt>
                <c:pt idx="284">
                  <c:v>2025-12-15</c:v>
                </c:pt>
                <c:pt idx="285">
                  <c:v>2025-12-16</c:v>
                </c:pt>
                <c:pt idx="286">
                  <c:v>2025-12-17</c:v>
                </c:pt>
                <c:pt idx="287">
                  <c:v>2025-12-18</c:v>
                </c:pt>
                <c:pt idx="288">
                  <c:v>2025-12-19</c:v>
                </c:pt>
                <c:pt idx="289">
                  <c:v>2025-12-20</c:v>
                </c:pt>
                <c:pt idx="290">
                  <c:v>2025-12-23</c:v>
                </c:pt>
                <c:pt idx="291">
                  <c:v>2025-12-24</c:v>
                </c:pt>
                <c:pt idx="292">
                  <c:v>2025-12-25</c:v>
                </c:pt>
                <c:pt idx="293">
                  <c:v>2025-12-26</c:v>
                </c:pt>
                <c:pt idx="294">
                  <c:v>2025-12-27</c:v>
                </c:pt>
                <c:pt idx="295">
                  <c:v>2025-12-28</c:v>
                </c:pt>
                <c:pt idx="296">
                  <c:v>2025-12-29</c:v>
                </c:pt>
                <c:pt idx="297">
                  <c:v>2025-12-31</c:v>
                </c:pt>
              </c:strCache>
            </c:strRef>
          </c:cat>
          <c:val>
            <c:numRef>
              <c:f>'Monthly Trend'!$B$6:$B$304</c:f>
              <c:numCache>
                <c:formatCode>General</c:formatCode>
                <c:ptCount val="298"/>
                <c:pt idx="0">
                  <c:v>139086</c:v>
                </c:pt>
                <c:pt idx="1">
                  <c:v>51886</c:v>
                </c:pt>
                <c:pt idx="2">
                  <c:v>71435</c:v>
                </c:pt>
                <c:pt idx="3">
                  <c:v>119240</c:v>
                </c:pt>
                <c:pt idx="4">
                  <c:v>58230</c:v>
                </c:pt>
                <c:pt idx="5">
                  <c:v>113786</c:v>
                </c:pt>
                <c:pt idx="6">
                  <c:v>5436</c:v>
                </c:pt>
                <c:pt idx="7">
                  <c:v>102594</c:v>
                </c:pt>
                <c:pt idx="8">
                  <c:v>124418</c:v>
                </c:pt>
                <c:pt idx="9">
                  <c:v>42259</c:v>
                </c:pt>
                <c:pt idx="10">
                  <c:v>21548</c:v>
                </c:pt>
                <c:pt idx="11">
                  <c:v>20488</c:v>
                </c:pt>
                <c:pt idx="12">
                  <c:v>9356</c:v>
                </c:pt>
                <c:pt idx="13">
                  <c:v>31180</c:v>
                </c:pt>
                <c:pt idx="14">
                  <c:v>169010</c:v>
                </c:pt>
                <c:pt idx="15">
                  <c:v>213002</c:v>
                </c:pt>
                <c:pt idx="16">
                  <c:v>53164</c:v>
                </c:pt>
                <c:pt idx="17">
                  <c:v>35641</c:v>
                </c:pt>
                <c:pt idx="18">
                  <c:v>39354</c:v>
                </c:pt>
                <c:pt idx="19">
                  <c:v>4966</c:v>
                </c:pt>
                <c:pt idx="20">
                  <c:v>52192</c:v>
                </c:pt>
                <c:pt idx="21">
                  <c:v>18207</c:v>
                </c:pt>
                <c:pt idx="22">
                  <c:v>52155</c:v>
                </c:pt>
                <c:pt idx="23">
                  <c:v>69420</c:v>
                </c:pt>
                <c:pt idx="24">
                  <c:v>20757</c:v>
                </c:pt>
                <c:pt idx="25">
                  <c:v>51854</c:v>
                </c:pt>
                <c:pt idx="26">
                  <c:v>9368</c:v>
                </c:pt>
                <c:pt idx="27">
                  <c:v>155136</c:v>
                </c:pt>
                <c:pt idx="28">
                  <c:v>153629</c:v>
                </c:pt>
                <c:pt idx="29">
                  <c:v>35899</c:v>
                </c:pt>
                <c:pt idx="30">
                  <c:v>37900</c:v>
                </c:pt>
                <c:pt idx="31">
                  <c:v>66797</c:v>
                </c:pt>
                <c:pt idx="32">
                  <c:v>13320</c:v>
                </c:pt>
                <c:pt idx="33">
                  <c:v>99666</c:v>
                </c:pt>
                <c:pt idx="34">
                  <c:v>41224</c:v>
                </c:pt>
                <c:pt idx="35">
                  <c:v>125104</c:v>
                </c:pt>
                <c:pt idx="36">
                  <c:v>18959</c:v>
                </c:pt>
                <c:pt idx="37">
                  <c:v>35680</c:v>
                </c:pt>
                <c:pt idx="38">
                  <c:v>3105</c:v>
                </c:pt>
                <c:pt idx="39">
                  <c:v>1254</c:v>
                </c:pt>
                <c:pt idx="40">
                  <c:v>100294</c:v>
                </c:pt>
                <c:pt idx="41">
                  <c:v>103604</c:v>
                </c:pt>
                <c:pt idx="42">
                  <c:v>72677</c:v>
                </c:pt>
                <c:pt idx="43">
                  <c:v>97494</c:v>
                </c:pt>
                <c:pt idx="44">
                  <c:v>73596</c:v>
                </c:pt>
                <c:pt idx="45">
                  <c:v>129980</c:v>
                </c:pt>
                <c:pt idx="46">
                  <c:v>51278</c:v>
                </c:pt>
                <c:pt idx="47">
                  <c:v>154701</c:v>
                </c:pt>
                <c:pt idx="48">
                  <c:v>98936</c:v>
                </c:pt>
                <c:pt idx="49">
                  <c:v>8704</c:v>
                </c:pt>
                <c:pt idx="50">
                  <c:v>24750</c:v>
                </c:pt>
                <c:pt idx="51">
                  <c:v>43080</c:v>
                </c:pt>
                <c:pt idx="52">
                  <c:v>122528</c:v>
                </c:pt>
                <c:pt idx="53">
                  <c:v>106516</c:v>
                </c:pt>
                <c:pt idx="54">
                  <c:v>71738</c:v>
                </c:pt>
                <c:pt idx="55">
                  <c:v>168189</c:v>
                </c:pt>
                <c:pt idx="56">
                  <c:v>10170</c:v>
                </c:pt>
                <c:pt idx="57">
                  <c:v>133005</c:v>
                </c:pt>
                <c:pt idx="58">
                  <c:v>22725</c:v>
                </c:pt>
                <c:pt idx="59">
                  <c:v>153075</c:v>
                </c:pt>
                <c:pt idx="60">
                  <c:v>8952</c:v>
                </c:pt>
                <c:pt idx="61">
                  <c:v>9180</c:v>
                </c:pt>
                <c:pt idx="62">
                  <c:v>45118</c:v>
                </c:pt>
                <c:pt idx="63">
                  <c:v>32223</c:v>
                </c:pt>
                <c:pt idx="64">
                  <c:v>46120</c:v>
                </c:pt>
                <c:pt idx="65">
                  <c:v>85938</c:v>
                </c:pt>
                <c:pt idx="66">
                  <c:v>12207</c:v>
                </c:pt>
                <c:pt idx="67">
                  <c:v>306373</c:v>
                </c:pt>
                <c:pt idx="68">
                  <c:v>54769</c:v>
                </c:pt>
                <c:pt idx="69">
                  <c:v>72330</c:v>
                </c:pt>
                <c:pt idx="70">
                  <c:v>98820</c:v>
                </c:pt>
                <c:pt idx="71">
                  <c:v>5796</c:v>
                </c:pt>
                <c:pt idx="72">
                  <c:v>88218</c:v>
                </c:pt>
                <c:pt idx="73">
                  <c:v>197796</c:v>
                </c:pt>
                <c:pt idx="74">
                  <c:v>116757</c:v>
                </c:pt>
                <c:pt idx="75">
                  <c:v>82484</c:v>
                </c:pt>
                <c:pt idx="76">
                  <c:v>15777</c:v>
                </c:pt>
                <c:pt idx="77">
                  <c:v>68100</c:v>
                </c:pt>
                <c:pt idx="78">
                  <c:v>47266</c:v>
                </c:pt>
                <c:pt idx="79">
                  <c:v>89786</c:v>
                </c:pt>
                <c:pt idx="80">
                  <c:v>185473</c:v>
                </c:pt>
                <c:pt idx="81">
                  <c:v>127865</c:v>
                </c:pt>
                <c:pt idx="82">
                  <c:v>84078</c:v>
                </c:pt>
                <c:pt idx="83">
                  <c:v>73381</c:v>
                </c:pt>
                <c:pt idx="84">
                  <c:v>46662</c:v>
                </c:pt>
                <c:pt idx="85">
                  <c:v>61440</c:v>
                </c:pt>
                <c:pt idx="86">
                  <c:v>14536</c:v>
                </c:pt>
                <c:pt idx="87">
                  <c:v>37017</c:v>
                </c:pt>
                <c:pt idx="88">
                  <c:v>9570</c:v>
                </c:pt>
                <c:pt idx="89">
                  <c:v>3220</c:v>
                </c:pt>
                <c:pt idx="90">
                  <c:v>104555</c:v>
                </c:pt>
                <c:pt idx="91">
                  <c:v>101102</c:v>
                </c:pt>
                <c:pt idx="92">
                  <c:v>61510</c:v>
                </c:pt>
                <c:pt idx="93">
                  <c:v>57631</c:v>
                </c:pt>
                <c:pt idx="94">
                  <c:v>22410</c:v>
                </c:pt>
                <c:pt idx="95">
                  <c:v>116358</c:v>
                </c:pt>
                <c:pt idx="96">
                  <c:v>38965</c:v>
                </c:pt>
                <c:pt idx="97">
                  <c:v>105630</c:v>
                </c:pt>
                <c:pt idx="98">
                  <c:v>85072</c:v>
                </c:pt>
                <c:pt idx="99">
                  <c:v>9395</c:v>
                </c:pt>
                <c:pt idx="100">
                  <c:v>9162</c:v>
                </c:pt>
                <c:pt idx="101">
                  <c:v>111800</c:v>
                </c:pt>
                <c:pt idx="102">
                  <c:v>61371</c:v>
                </c:pt>
                <c:pt idx="103">
                  <c:v>96790</c:v>
                </c:pt>
                <c:pt idx="104">
                  <c:v>44478</c:v>
                </c:pt>
                <c:pt idx="105">
                  <c:v>78660</c:v>
                </c:pt>
                <c:pt idx="106">
                  <c:v>13592</c:v>
                </c:pt>
                <c:pt idx="107">
                  <c:v>40215</c:v>
                </c:pt>
                <c:pt idx="108">
                  <c:v>99992</c:v>
                </c:pt>
                <c:pt idx="109">
                  <c:v>5775</c:v>
                </c:pt>
                <c:pt idx="110">
                  <c:v>197448</c:v>
                </c:pt>
                <c:pt idx="111">
                  <c:v>140414</c:v>
                </c:pt>
                <c:pt idx="112">
                  <c:v>17280</c:v>
                </c:pt>
                <c:pt idx="113">
                  <c:v>35255</c:v>
                </c:pt>
                <c:pt idx="114">
                  <c:v>119531</c:v>
                </c:pt>
                <c:pt idx="115">
                  <c:v>177099</c:v>
                </c:pt>
                <c:pt idx="116">
                  <c:v>94816</c:v>
                </c:pt>
                <c:pt idx="117">
                  <c:v>133995</c:v>
                </c:pt>
                <c:pt idx="118">
                  <c:v>64631</c:v>
                </c:pt>
                <c:pt idx="119">
                  <c:v>11627</c:v>
                </c:pt>
                <c:pt idx="120">
                  <c:v>70890</c:v>
                </c:pt>
                <c:pt idx="121">
                  <c:v>178121</c:v>
                </c:pt>
                <c:pt idx="122">
                  <c:v>25036</c:v>
                </c:pt>
                <c:pt idx="123">
                  <c:v>31735</c:v>
                </c:pt>
                <c:pt idx="124">
                  <c:v>87997</c:v>
                </c:pt>
                <c:pt idx="125">
                  <c:v>26898</c:v>
                </c:pt>
                <c:pt idx="126">
                  <c:v>93581</c:v>
                </c:pt>
                <c:pt idx="127">
                  <c:v>108524</c:v>
                </c:pt>
                <c:pt idx="128">
                  <c:v>42025</c:v>
                </c:pt>
                <c:pt idx="129">
                  <c:v>160858</c:v>
                </c:pt>
                <c:pt idx="130">
                  <c:v>64680</c:v>
                </c:pt>
                <c:pt idx="131">
                  <c:v>1646</c:v>
                </c:pt>
                <c:pt idx="132">
                  <c:v>71846</c:v>
                </c:pt>
                <c:pt idx="133">
                  <c:v>137567</c:v>
                </c:pt>
                <c:pt idx="134">
                  <c:v>29490</c:v>
                </c:pt>
                <c:pt idx="135">
                  <c:v>15936</c:v>
                </c:pt>
                <c:pt idx="136">
                  <c:v>23795</c:v>
                </c:pt>
                <c:pt idx="137">
                  <c:v>37436</c:v>
                </c:pt>
                <c:pt idx="138">
                  <c:v>67977</c:v>
                </c:pt>
                <c:pt idx="139">
                  <c:v>27944</c:v>
                </c:pt>
                <c:pt idx="140">
                  <c:v>66261</c:v>
                </c:pt>
                <c:pt idx="141">
                  <c:v>48882</c:v>
                </c:pt>
                <c:pt idx="142">
                  <c:v>100263</c:v>
                </c:pt>
                <c:pt idx="143">
                  <c:v>44775</c:v>
                </c:pt>
                <c:pt idx="144">
                  <c:v>167363</c:v>
                </c:pt>
                <c:pt idx="145">
                  <c:v>190450</c:v>
                </c:pt>
                <c:pt idx="146">
                  <c:v>58107</c:v>
                </c:pt>
                <c:pt idx="147">
                  <c:v>20470</c:v>
                </c:pt>
                <c:pt idx="148">
                  <c:v>39092</c:v>
                </c:pt>
                <c:pt idx="149">
                  <c:v>8855</c:v>
                </c:pt>
                <c:pt idx="150">
                  <c:v>102401</c:v>
                </c:pt>
                <c:pt idx="151">
                  <c:v>47925</c:v>
                </c:pt>
                <c:pt idx="152">
                  <c:v>7945</c:v>
                </c:pt>
                <c:pt idx="153">
                  <c:v>74633</c:v>
                </c:pt>
                <c:pt idx="154">
                  <c:v>68015</c:v>
                </c:pt>
                <c:pt idx="155">
                  <c:v>96705</c:v>
                </c:pt>
                <c:pt idx="156">
                  <c:v>29244</c:v>
                </c:pt>
                <c:pt idx="157">
                  <c:v>38640</c:v>
                </c:pt>
                <c:pt idx="158">
                  <c:v>29380</c:v>
                </c:pt>
                <c:pt idx="159">
                  <c:v>111427</c:v>
                </c:pt>
                <c:pt idx="160">
                  <c:v>112365</c:v>
                </c:pt>
                <c:pt idx="161">
                  <c:v>96160</c:v>
                </c:pt>
                <c:pt idx="162">
                  <c:v>114362</c:v>
                </c:pt>
                <c:pt idx="163">
                  <c:v>46040</c:v>
                </c:pt>
                <c:pt idx="164">
                  <c:v>114110</c:v>
                </c:pt>
                <c:pt idx="165">
                  <c:v>70132</c:v>
                </c:pt>
                <c:pt idx="166">
                  <c:v>78195</c:v>
                </c:pt>
                <c:pt idx="167">
                  <c:v>144324</c:v>
                </c:pt>
                <c:pt idx="168">
                  <c:v>182592</c:v>
                </c:pt>
                <c:pt idx="169">
                  <c:v>11163</c:v>
                </c:pt>
                <c:pt idx="170">
                  <c:v>61920</c:v>
                </c:pt>
                <c:pt idx="171">
                  <c:v>35846</c:v>
                </c:pt>
                <c:pt idx="172">
                  <c:v>49011</c:v>
                </c:pt>
                <c:pt idx="173">
                  <c:v>54891</c:v>
                </c:pt>
                <c:pt idx="174">
                  <c:v>49047</c:v>
                </c:pt>
                <c:pt idx="175">
                  <c:v>43188</c:v>
                </c:pt>
                <c:pt idx="176">
                  <c:v>142051</c:v>
                </c:pt>
                <c:pt idx="177">
                  <c:v>848</c:v>
                </c:pt>
                <c:pt idx="178">
                  <c:v>103986</c:v>
                </c:pt>
                <c:pt idx="179">
                  <c:v>135834</c:v>
                </c:pt>
                <c:pt idx="180">
                  <c:v>11938</c:v>
                </c:pt>
                <c:pt idx="181">
                  <c:v>25030</c:v>
                </c:pt>
                <c:pt idx="182">
                  <c:v>40220</c:v>
                </c:pt>
                <c:pt idx="183">
                  <c:v>139209</c:v>
                </c:pt>
                <c:pt idx="184">
                  <c:v>109819</c:v>
                </c:pt>
                <c:pt idx="185">
                  <c:v>105688</c:v>
                </c:pt>
                <c:pt idx="186">
                  <c:v>42244</c:v>
                </c:pt>
                <c:pt idx="187">
                  <c:v>96017</c:v>
                </c:pt>
                <c:pt idx="188">
                  <c:v>11101</c:v>
                </c:pt>
                <c:pt idx="189">
                  <c:v>165404</c:v>
                </c:pt>
                <c:pt idx="190">
                  <c:v>87805</c:v>
                </c:pt>
                <c:pt idx="191">
                  <c:v>12534</c:v>
                </c:pt>
                <c:pt idx="192">
                  <c:v>28014</c:v>
                </c:pt>
                <c:pt idx="193">
                  <c:v>56370</c:v>
                </c:pt>
                <c:pt idx="194">
                  <c:v>81280</c:v>
                </c:pt>
                <c:pt idx="195">
                  <c:v>105710</c:v>
                </c:pt>
                <c:pt idx="196">
                  <c:v>12765</c:v>
                </c:pt>
                <c:pt idx="197">
                  <c:v>16452</c:v>
                </c:pt>
                <c:pt idx="198">
                  <c:v>139738</c:v>
                </c:pt>
                <c:pt idx="199">
                  <c:v>64132</c:v>
                </c:pt>
                <c:pt idx="200">
                  <c:v>39008</c:v>
                </c:pt>
                <c:pt idx="201">
                  <c:v>145036</c:v>
                </c:pt>
                <c:pt idx="202">
                  <c:v>64721</c:v>
                </c:pt>
                <c:pt idx="203">
                  <c:v>84292</c:v>
                </c:pt>
                <c:pt idx="204">
                  <c:v>38448</c:v>
                </c:pt>
                <c:pt idx="205">
                  <c:v>136738</c:v>
                </c:pt>
                <c:pt idx="206">
                  <c:v>8876</c:v>
                </c:pt>
                <c:pt idx="207">
                  <c:v>53237</c:v>
                </c:pt>
                <c:pt idx="208">
                  <c:v>59477</c:v>
                </c:pt>
                <c:pt idx="209">
                  <c:v>148892</c:v>
                </c:pt>
                <c:pt idx="210">
                  <c:v>5205</c:v>
                </c:pt>
                <c:pt idx="211">
                  <c:v>9726</c:v>
                </c:pt>
                <c:pt idx="212">
                  <c:v>34605</c:v>
                </c:pt>
                <c:pt idx="213">
                  <c:v>53412</c:v>
                </c:pt>
                <c:pt idx="214">
                  <c:v>100078</c:v>
                </c:pt>
                <c:pt idx="215">
                  <c:v>86022</c:v>
                </c:pt>
                <c:pt idx="216">
                  <c:v>48008</c:v>
                </c:pt>
                <c:pt idx="217">
                  <c:v>93656</c:v>
                </c:pt>
                <c:pt idx="218">
                  <c:v>7764</c:v>
                </c:pt>
                <c:pt idx="219">
                  <c:v>47973</c:v>
                </c:pt>
                <c:pt idx="220">
                  <c:v>66537</c:v>
                </c:pt>
                <c:pt idx="221">
                  <c:v>12947</c:v>
                </c:pt>
                <c:pt idx="222">
                  <c:v>78080</c:v>
                </c:pt>
                <c:pt idx="223">
                  <c:v>58035</c:v>
                </c:pt>
                <c:pt idx="224">
                  <c:v>190650</c:v>
                </c:pt>
                <c:pt idx="225">
                  <c:v>232545</c:v>
                </c:pt>
                <c:pt idx="226">
                  <c:v>98488</c:v>
                </c:pt>
                <c:pt idx="227">
                  <c:v>32835</c:v>
                </c:pt>
                <c:pt idx="228">
                  <c:v>34368</c:v>
                </c:pt>
                <c:pt idx="229">
                  <c:v>55790</c:v>
                </c:pt>
                <c:pt idx="230">
                  <c:v>5748</c:v>
                </c:pt>
                <c:pt idx="231">
                  <c:v>28971</c:v>
                </c:pt>
                <c:pt idx="232">
                  <c:v>53129</c:v>
                </c:pt>
                <c:pt idx="233">
                  <c:v>46046</c:v>
                </c:pt>
                <c:pt idx="234">
                  <c:v>205457</c:v>
                </c:pt>
                <c:pt idx="235">
                  <c:v>20664</c:v>
                </c:pt>
                <c:pt idx="236">
                  <c:v>13210</c:v>
                </c:pt>
                <c:pt idx="237">
                  <c:v>45668</c:v>
                </c:pt>
                <c:pt idx="238">
                  <c:v>29889</c:v>
                </c:pt>
                <c:pt idx="239">
                  <c:v>23560</c:v>
                </c:pt>
                <c:pt idx="240">
                  <c:v>25356</c:v>
                </c:pt>
                <c:pt idx="241">
                  <c:v>34575</c:v>
                </c:pt>
                <c:pt idx="242">
                  <c:v>78278</c:v>
                </c:pt>
                <c:pt idx="243">
                  <c:v>156148</c:v>
                </c:pt>
                <c:pt idx="244">
                  <c:v>134701</c:v>
                </c:pt>
                <c:pt idx="245">
                  <c:v>91753</c:v>
                </c:pt>
                <c:pt idx="246">
                  <c:v>246819</c:v>
                </c:pt>
                <c:pt idx="247">
                  <c:v>23510</c:v>
                </c:pt>
                <c:pt idx="248">
                  <c:v>28792</c:v>
                </c:pt>
                <c:pt idx="249">
                  <c:v>52720</c:v>
                </c:pt>
                <c:pt idx="250">
                  <c:v>105330</c:v>
                </c:pt>
                <c:pt idx="251">
                  <c:v>41436</c:v>
                </c:pt>
                <c:pt idx="252">
                  <c:v>8775</c:v>
                </c:pt>
                <c:pt idx="253">
                  <c:v>152247</c:v>
                </c:pt>
                <c:pt idx="254">
                  <c:v>80040</c:v>
                </c:pt>
                <c:pt idx="255">
                  <c:v>110117</c:v>
                </c:pt>
                <c:pt idx="256">
                  <c:v>78111</c:v>
                </c:pt>
                <c:pt idx="257">
                  <c:v>101192</c:v>
                </c:pt>
                <c:pt idx="258">
                  <c:v>70175</c:v>
                </c:pt>
                <c:pt idx="259">
                  <c:v>40906</c:v>
                </c:pt>
                <c:pt idx="260">
                  <c:v>140863</c:v>
                </c:pt>
                <c:pt idx="261">
                  <c:v>71440</c:v>
                </c:pt>
                <c:pt idx="262">
                  <c:v>15750</c:v>
                </c:pt>
                <c:pt idx="263">
                  <c:v>16906</c:v>
                </c:pt>
                <c:pt idx="264">
                  <c:v>141086</c:v>
                </c:pt>
                <c:pt idx="265">
                  <c:v>54507</c:v>
                </c:pt>
                <c:pt idx="266">
                  <c:v>44316</c:v>
                </c:pt>
                <c:pt idx="267">
                  <c:v>187859</c:v>
                </c:pt>
                <c:pt idx="268">
                  <c:v>46653</c:v>
                </c:pt>
                <c:pt idx="269">
                  <c:v>56098</c:v>
                </c:pt>
                <c:pt idx="270">
                  <c:v>9540</c:v>
                </c:pt>
                <c:pt idx="271">
                  <c:v>133740</c:v>
                </c:pt>
                <c:pt idx="272">
                  <c:v>21670</c:v>
                </c:pt>
                <c:pt idx="273">
                  <c:v>37809</c:v>
                </c:pt>
                <c:pt idx="274">
                  <c:v>142983</c:v>
                </c:pt>
                <c:pt idx="275">
                  <c:v>65502</c:v>
                </c:pt>
                <c:pt idx="276">
                  <c:v>309183</c:v>
                </c:pt>
                <c:pt idx="277">
                  <c:v>105795</c:v>
                </c:pt>
                <c:pt idx="278">
                  <c:v>56214</c:v>
                </c:pt>
                <c:pt idx="279">
                  <c:v>2220</c:v>
                </c:pt>
                <c:pt idx="280">
                  <c:v>30404</c:v>
                </c:pt>
                <c:pt idx="281">
                  <c:v>198165</c:v>
                </c:pt>
                <c:pt idx="282">
                  <c:v>72468</c:v>
                </c:pt>
                <c:pt idx="283">
                  <c:v>103371</c:v>
                </c:pt>
                <c:pt idx="284">
                  <c:v>151008</c:v>
                </c:pt>
                <c:pt idx="285">
                  <c:v>11078</c:v>
                </c:pt>
                <c:pt idx="286">
                  <c:v>16717</c:v>
                </c:pt>
                <c:pt idx="287">
                  <c:v>20174</c:v>
                </c:pt>
                <c:pt idx="288">
                  <c:v>124410</c:v>
                </c:pt>
                <c:pt idx="289">
                  <c:v>100792</c:v>
                </c:pt>
                <c:pt idx="290">
                  <c:v>15936</c:v>
                </c:pt>
                <c:pt idx="291">
                  <c:v>64650</c:v>
                </c:pt>
                <c:pt idx="292">
                  <c:v>11780</c:v>
                </c:pt>
                <c:pt idx="293">
                  <c:v>24296</c:v>
                </c:pt>
                <c:pt idx="294">
                  <c:v>47012</c:v>
                </c:pt>
                <c:pt idx="295">
                  <c:v>57504</c:v>
                </c:pt>
                <c:pt idx="296">
                  <c:v>56820</c:v>
                </c:pt>
                <c:pt idx="297">
                  <c:v>57901</c:v>
                </c:pt>
              </c:numCache>
            </c:numRef>
          </c:val>
          <c:smooth val="0"/>
          <c:extLst>
            <c:ext xmlns:c16="http://schemas.microsoft.com/office/drawing/2014/chart" uri="{C3380CC4-5D6E-409C-BE32-E72D297353CC}">
              <c16:uniqueId val="{00000000-93C7-44FB-8A7B-4644FD5E8902}"/>
            </c:ext>
          </c:extLst>
        </c:ser>
        <c:dLbls>
          <c:showLegendKey val="0"/>
          <c:showVal val="0"/>
          <c:showCatName val="0"/>
          <c:showSerName val="0"/>
          <c:showPercent val="0"/>
          <c:showBubbleSize val="0"/>
        </c:dLbls>
        <c:marker val="1"/>
        <c:smooth val="0"/>
        <c:axId val="1049584784"/>
        <c:axId val="1049581424"/>
      </c:lineChart>
      <c:catAx>
        <c:axId val="104958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581424"/>
        <c:crosses val="autoZero"/>
        <c:auto val="1"/>
        <c:lblAlgn val="ctr"/>
        <c:lblOffset val="100"/>
        <c:noMultiLvlLbl val="0"/>
      </c:catAx>
      <c:valAx>
        <c:axId val="104958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58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[Sales_Profit_Project.xlsx]Monthly Trend!PivotTable4</c:name>
    <c:fmtId val="9"/>
  </c:pivotSource>
  <c:chart>
    <c:title>
      <c:overlay val="0"/>
      <c:spPr>
        <a:noFill/>
        <a:ln>
          <a:noFill/>
        </a:ln>
        <a:effectLst/>
      </c:spPr>
      <c:txPr>
        <a:bodyPr rot="0" spcFirstLastPara="1" vertOverflow="ellipsis" vert="horz" wrap="square" anchor="ctr" anchorCtr="1"/>
        <a:lstStyle/>
        <a:p>
          <a:pPr>
            <a:defRPr sz="2000" b="1" i="0" u="none" strike="noStrike" kern="1200" baseline="0">
              <a:ln>
                <a:noFill/>
              </a:ln>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072272831513309E-2"/>
          <c:y val="0.17649756338484235"/>
          <c:w val="0.91029767732537581"/>
          <c:h val="0.52707438174477073"/>
        </c:manualLayout>
      </c:layout>
      <c:lineChart>
        <c:grouping val="standard"/>
        <c:varyColors val="0"/>
        <c:ser>
          <c:idx val="0"/>
          <c:order val="0"/>
          <c:tx>
            <c:strRef>
              <c:f>'Monthly Trend'!$B$5</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Trend'!$A$6:$A$304</c:f>
              <c:strCache>
                <c:ptCount val="298"/>
                <c:pt idx="0">
                  <c:v>2025-01-01</c:v>
                </c:pt>
                <c:pt idx="1">
                  <c:v>2025-01-02</c:v>
                </c:pt>
                <c:pt idx="2">
                  <c:v>2025-01-03</c:v>
                </c:pt>
                <c:pt idx="3">
                  <c:v>2025-01-04</c:v>
                </c:pt>
                <c:pt idx="4">
                  <c:v>2025-01-05</c:v>
                </c:pt>
                <c:pt idx="5">
                  <c:v>2025-01-06</c:v>
                </c:pt>
                <c:pt idx="6">
                  <c:v>2025-01-07</c:v>
                </c:pt>
                <c:pt idx="7">
                  <c:v>2025-01-08</c:v>
                </c:pt>
                <c:pt idx="8">
                  <c:v>2025-01-09</c:v>
                </c:pt>
                <c:pt idx="9">
                  <c:v>2025-01-10</c:v>
                </c:pt>
                <c:pt idx="10">
                  <c:v>2025-01-11</c:v>
                </c:pt>
                <c:pt idx="11">
                  <c:v>2025-01-12</c:v>
                </c:pt>
                <c:pt idx="12">
                  <c:v>2025-01-13</c:v>
                </c:pt>
                <c:pt idx="13">
                  <c:v>2025-01-14</c:v>
                </c:pt>
                <c:pt idx="14">
                  <c:v>2025-01-15</c:v>
                </c:pt>
                <c:pt idx="15">
                  <c:v>2025-01-16</c:v>
                </c:pt>
                <c:pt idx="16">
                  <c:v>2025-01-18</c:v>
                </c:pt>
                <c:pt idx="17">
                  <c:v>2025-01-19</c:v>
                </c:pt>
                <c:pt idx="18">
                  <c:v>2025-01-20</c:v>
                </c:pt>
                <c:pt idx="19">
                  <c:v>2025-01-21</c:v>
                </c:pt>
                <c:pt idx="20">
                  <c:v>2025-01-22</c:v>
                </c:pt>
                <c:pt idx="21">
                  <c:v>2025-01-23</c:v>
                </c:pt>
                <c:pt idx="22">
                  <c:v>2025-01-24</c:v>
                </c:pt>
                <c:pt idx="23">
                  <c:v>2025-01-25</c:v>
                </c:pt>
                <c:pt idx="24">
                  <c:v>2025-01-26</c:v>
                </c:pt>
                <c:pt idx="25">
                  <c:v>2025-01-27</c:v>
                </c:pt>
                <c:pt idx="26">
                  <c:v>2025-01-28</c:v>
                </c:pt>
                <c:pt idx="27">
                  <c:v>2025-01-29</c:v>
                </c:pt>
                <c:pt idx="28">
                  <c:v>2025-01-30</c:v>
                </c:pt>
                <c:pt idx="29">
                  <c:v>2025-01-31</c:v>
                </c:pt>
                <c:pt idx="30">
                  <c:v>2025-02-01</c:v>
                </c:pt>
                <c:pt idx="31">
                  <c:v>2025-02-02</c:v>
                </c:pt>
                <c:pt idx="32">
                  <c:v>2025-02-03</c:v>
                </c:pt>
                <c:pt idx="33">
                  <c:v>2025-02-04</c:v>
                </c:pt>
                <c:pt idx="34">
                  <c:v>2025-02-05</c:v>
                </c:pt>
                <c:pt idx="35">
                  <c:v>2025-02-07</c:v>
                </c:pt>
                <c:pt idx="36">
                  <c:v>2025-02-08</c:v>
                </c:pt>
                <c:pt idx="37">
                  <c:v>2025-02-09</c:v>
                </c:pt>
                <c:pt idx="38">
                  <c:v>2025-02-10</c:v>
                </c:pt>
                <c:pt idx="39">
                  <c:v>2025-02-11</c:v>
                </c:pt>
                <c:pt idx="40">
                  <c:v>2025-02-13</c:v>
                </c:pt>
                <c:pt idx="41">
                  <c:v>2025-02-14</c:v>
                </c:pt>
                <c:pt idx="42">
                  <c:v>2025-02-15</c:v>
                </c:pt>
                <c:pt idx="43">
                  <c:v>2025-02-16</c:v>
                </c:pt>
                <c:pt idx="44">
                  <c:v>2025-02-17</c:v>
                </c:pt>
                <c:pt idx="45">
                  <c:v>2025-02-19</c:v>
                </c:pt>
                <c:pt idx="46">
                  <c:v>2025-02-20</c:v>
                </c:pt>
                <c:pt idx="47">
                  <c:v>2025-02-21</c:v>
                </c:pt>
                <c:pt idx="48">
                  <c:v>2025-02-24</c:v>
                </c:pt>
                <c:pt idx="49">
                  <c:v>2025-02-25</c:v>
                </c:pt>
                <c:pt idx="50">
                  <c:v>2025-02-26</c:v>
                </c:pt>
                <c:pt idx="51">
                  <c:v>2025-03-01</c:v>
                </c:pt>
                <c:pt idx="52">
                  <c:v>2025-03-02</c:v>
                </c:pt>
                <c:pt idx="53">
                  <c:v>2025-03-03</c:v>
                </c:pt>
                <c:pt idx="54">
                  <c:v>2025-03-04</c:v>
                </c:pt>
                <c:pt idx="55">
                  <c:v>2025-03-05</c:v>
                </c:pt>
                <c:pt idx="56">
                  <c:v>2025-03-08</c:v>
                </c:pt>
                <c:pt idx="57">
                  <c:v>2025-03-11</c:v>
                </c:pt>
                <c:pt idx="58">
                  <c:v>2025-03-12</c:v>
                </c:pt>
                <c:pt idx="59">
                  <c:v>2025-03-13</c:v>
                </c:pt>
                <c:pt idx="60">
                  <c:v>2025-03-14</c:v>
                </c:pt>
                <c:pt idx="61">
                  <c:v>2025-03-15</c:v>
                </c:pt>
                <c:pt idx="62">
                  <c:v>2025-03-16</c:v>
                </c:pt>
                <c:pt idx="63">
                  <c:v>2025-03-17</c:v>
                </c:pt>
                <c:pt idx="64">
                  <c:v>2025-03-18</c:v>
                </c:pt>
                <c:pt idx="65">
                  <c:v>2025-03-19</c:v>
                </c:pt>
                <c:pt idx="66">
                  <c:v>2025-03-22</c:v>
                </c:pt>
                <c:pt idx="67">
                  <c:v>2025-03-24</c:v>
                </c:pt>
                <c:pt idx="68">
                  <c:v>2025-03-25</c:v>
                </c:pt>
                <c:pt idx="69">
                  <c:v>2025-03-28</c:v>
                </c:pt>
                <c:pt idx="70">
                  <c:v>2025-03-29</c:v>
                </c:pt>
                <c:pt idx="71">
                  <c:v>2025-03-30</c:v>
                </c:pt>
                <c:pt idx="72">
                  <c:v>2025-03-31</c:v>
                </c:pt>
                <c:pt idx="73">
                  <c:v>2025-04-01</c:v>
                </c:pt>
                <c:pt idx="74">
                  <c:v>2025-04-02</c:v>
                </c:pt>
                <c:pt idx="75">
                  <c:v>2025-04-03</c:v>
                </c:pt>
                <c:pt idx="76">
                  <c:v>2025-04-04</c:v>
                </c:pt>
                <c:pt idx="77">
                  <c:v>2025-04-05</c:v>
                </c:pt>
                <c:pt idx="78">
                  <c:v>2025-04-06</c:v>
                </c:pt>
                <c:pt idx="79">
                  <c:v>2025-04-10</c:v>
                </c:pt>
                <c:pt idx="80">
                  <c:v>2025-04-13</c:v>
                </c:pt>
                <c:pt idx="81">
                  <c:v>2025-04-15</c:v>
                </c:pt>
                <c:pt idx="82">
                  <c:v>2025-04-16</c:v>
                </c:pt>
                <c:pt idx="83">
                  <c:v>2025-04-17</c:v>
                </c:pt>
                <c:pt idx="84">
                  <c:v>2025-04-18</c:v>
                </c:pt>
                <c:pt idx="85">
                  <c:v>2025-04-19</c:v>
                </c:pt>
                <c:pt idx="86">
                  <c:v>2025-04-20</c:v>
                </c:pt>
                <c:pt idx="87">
                  <c:v>2025-04-21</c:v>
                </c:pt>
                <c:pt idx="88">
                  <c:v>2025-04-22</c:v>
                </c:pt>
                <c:pt idx="89">
                  <c:v>2025-04-24</c:v>
                </c:pt>
                <c:pt idx="90">
                  <c:v>2025-04-25</c:v>
                </c:pt>
                <c:pt idx="91">
                  <c:v>2025-04-27</c:v>
                </c:pt>
                <c:pt idx="92">
                  <c:v>2025-04-28</c:v>
                </c:pt>
                <c:pt idx="93">
                  <c:v>2025-04-29</c:v>
                </c:pt>
                <c:pt idx="94">
                  <c:v>2025-04-30</c:v>
                </c:pt>
                <c:pt idx="95">
                  <c:v>2025-05-01</c:v>
                </c:pt>
                <c:pt idx="96">
                  <c:v>2025-05-02</c:v>
                </c:pt>
                <c:pt idx="97">
                  <c:v>2025-05-03</c:v>
                </c:pt>
                <c:pt idx="98">
                  <c:v>2025-05-04</c:v>
                </c:pt>
                <c:pt idx="99">
                  <c:v>2025-05-06</c:v>
                </c:pt>
                <c:pt idx="100">
                  <c:v>2025-05-08</c:v>
                </c:pt>
                <c:pt idx="101">
                  <c:v>2025-05-09</c:v>
                </c:pt>
                <c:pt idx="102">
                  <c:v>2025-05-10</c:v>
                </c:pt>
                <c:pt idx="103">
                  <c:v>2025-05-11</c:v>
                </c:pt>
                <c:pt idx="104">
                  <c:v>2025-05-13</c:v>
                </c:pt>
                <c:pt idx="105">
                  <c:v>2025-05-14</c:v>
                </c:pt>
                <c:pt idx="106">
                  <c:v>2025-05-15</c:v>
                </c:pt>
                <c:pt idx="107">
                  <c:v>2025-05-16</c:v>
                </c:pt>
                <c:pt idx="108">
                  <c:v>2025-05-17</c:v>
                </c:pt>
                <c:pt idx="109">
                  <c:v>2025-05-18</c:v>
                </c:pt>
                <c:pt idx="110">
                  <c:v>2025-05-20</c:v>
                </c:pt>
                <c:pt idx="111">
                  <c:v>2025-05-21</c:v>
                </c:pt>
                <c:pt idx="112">
                  <c:v>2025-05-22</c:v>
                </c:pt>
                <c:pt idx="113">
                  <c:v>2025-05-23</c:v>
                </c:pt>
                <c:pt idx="114">
                  <c:v>2025-05-25</c:v>
                </c:pt>
                <c:pt idx="115">
                  <c:v>2025-05-26</c:v>
                </c:pt>
                <c:pt idx="116">
                  <c:v>2025-05-27</c:v>
                </c:pt>
                <c:pt idx="117">
                  <c:v>2025-05-29</c:v>
                </c:pt>
                <c:pt idx="118">
                  <c:v>2025-05-30</c:v>
                </c:pt>
                <c:pt idx="119">
                  <c:v>2025-05-31</c:v>
                </c:pt>
                <c:pt idx="120">
                  <c:v>2025-06-01</c:v>
                </c:pt>
                <c:pt idx="121">
                  <c:v>2025-06-02</c:v>
                </c:pt>
                <c:pt idx="122">
                  <c:v>2025-06-03</c:v>
                </c:pt>
                <c:pt idx="123">
                  <c:v>2025-06-04</c:v>
                </c:pt>
                <c:pt idx="124">
                  <c:v>2025-06-05</c:v>
                </c:pt>
                <c:pt idx="125">
                  <c:v>2025-06-06</c:v>
                </c:pt>
                <c:pt idx="126">
                  <c:v>2025-06-07</c:v>
                </c:pt>
                <c:pt idx="127">
                  <c:v>2025-06-08</c:v>
                </c:pt>
                <c:pt idx="128">
                  <c:v>2025-06-10</c:v>
                </c:pt>
                <c:pt idx="129">
                  <c:v>2025-06-11</c:v>
                </c:pt>
                <c:pt idx="130">
                  <c:v>2025-06-12</c:v>
                </c:pt>
                <c:pt idx="131">
                  <c:v>2025-06-13</c:v>
                </c:pt>
                <c:pt idx="132">
                  <c:v>2025-06-15</c:v>
                </c:pt>
                <c:pt idx="133">
                  <c:v>2025-06-16</c:v>
                </c:pt>
                <c:pt idx="134">
                  <c:v>2025-06-17</c:v>
                </c:pt>
                <c:pt idx="135">
                  <c:v>2025-06-21</c:v>
                </c:pt>
                <c:pt idx="136">
                  <c:v>2025-06-22</c:v>
                </c:pt>
                <c:pt idx="137">
                  <c:v>2025-06-23</c:v>
                </c:pt>
                <c:pt idx="138">
                  <c:v>2025-06-25</c:v>
                </c:pt>
                <c:pt idx="139">
                  <c:v>2025-06-26</c:v>
                </c:pt>
                <c:pt idx="140">
                  <c:v>2025-06-27</c:v>
                </c:pt>
                <c:pt idx="141">
                  <c:v>2025-06-28</c:v>
                </c:pt>
                <c:pt idx="142">
                  <c:v>2025-06-30</c:v>
                </c:pt>
                <c:pt idx="143">
                  <c:v>2025-07-01</c:v>
                </c:pt>
                <c:pt idx="144">
                  <c:v>2025-07-02</c:v>
                </c:pt>
                <c:pt idx="145">
                  <c:v>2025-07-04</c:v>
                </c:pt>
                <c:pt idx="146">
                  <c:v>2025-07-06</c:v>
                </c:pt>
                <c:pt idx="147">
                  <c:v>2025-07-07</c:v>
                </c:pt>
                <c:pt idx="148">
                  <c:v>2025-07-08</c:v>
                </c:pt>
                <c:pt idx="149">
                  <c:v>2025-07-10</c:v>
                </c:pt>
                <c:pt idx="150">
                  <c:v>2025-07-11</c:v>
                </c:pt>
                <c:pt idx="151">
                  <c:v>2025-07-12</c:v>
                </c:pt>
                <c:pt idx="152">
                  <c:v>2025-07-13</c:v>
                </c:pt>
                <c:pt idx="153">
                  <c:v>2025-07-14</c:v>
                </c:pt>
                <c:pt idx="154">
                  <c:v>2025-07-15</c:v>
                </c:pt>
                <c:pt idx="155">
                  <c:v>2025-07-16</c:v>
                </c:pt>
                <c:pt idx="156">
                  <c:v>2025-07-17</c:v>
                </c:pt>
                <c:pt idx="157">
                  <c:v>2025-07-18</c:v>
                </c:pt>
                <c:pt idx="158">
                  <c:v>2025-07-19</c:v>
                </c:pt>
                <c:pt idx="159">
                  <c:v>2025-07-20</c:v>
                </c:pt>
                <c:pt idx="160">
                  <c:v>2025-07-21</c:v>
                </c:pt>
                <c:pt idx="161">
                  <c:v>2025-07-23</c:v>
                </c:pt>
                <c:pt idx="162">
                  <c:v>2025-07-24</c:v>
                </c:pt>
                <c:pt idx="163">
                  <c:v>2025-07-25</c:v>
                </c:pt>
                <c:pt idx="164">
                  <c:v>2025-07-26</c:v>
                </c:pt>
                <c:pt idx="165">
                  <c:v>2025-07-27</c:v>
                </c:pt>
                <c:pt idx="166">
                  <c:v>2025-07-28</c:v>
                </c:pt>
                <c:pt idx="167">
                  <c:v>2025-07-29</c:v>
                </c:pt>
                <c:pt idx="168">
                  <c:v>2025-07-30</c:v>
                </c:pt>
                <c:pt idx="169">
                  <c:v>2025-07-31</c:v>
                </c:pt>
                <c:pt idx="170">
                  <c:v>2025-08-01</c:v>
                </c:pt>
                <c:pt idx="171">
                  <c:v>2025-08-02</c:v>
                </c:pt>
                <c:pt idx="172">
                  <c:v>2025-08-03</c:v>
                </c:pt>
                <c:pt idx="173">
                  <c:v>2025-08-04</c:v>
                </c:pt>
                <c:pt idx="174">
                  <c:v>2025-08-05</c:v>
                </c:pt>
                <c:pt idx="175">
                  <c:v>2025-08-06</c:v>
                </c:pt>
                <c:pt idx="176">
                  <c:v>2025-08-07</c:v>
                </c:pt>
                <c:pt idx="177">
                  <c:v>2025-08-08</c:v>
                </c:pt>
                <c:pt idx="178">
                  <c:v>2025-08-10</c:v>
                </c:pt>
                <c:pt idx="179">
                  <c:v>2025-08-11</c:v>
                </c:pt>
                <c:pt idx="180">
                  <c:v>2025-08-12</c:v>
                </c:pt>
                <c:pt idx="181">
                  <c:v>2025-08-13</c:v>
                </c:pt>
                <c:pt idx="182">
                  <c:v>2025-08-14</c:v>
                </c:pt>
                <c:pt idx="183">
                  <c:v>2025-08-15</c:v>
                </c:pt>
                <c:pt idx="184">
                  <c:v>2025-08-16</c:v>
                </c:pt>
                <c:pt idx="185">
                  <c:v>2025-08-17</c:v>
                </c:pt>
                <c:pt idx="186">
                  <c:v>2025-08-18</c:v>
                </c:pt>
                <c:pt idx="187">
                  <c:v>2025-08-19</c:v>
                </c:pt>
                <c:pt idx="188">
                  <c:v>2025-08-20</c:v>
                </c:pt>
                <c:pt idx="189">
                  <c:v>2025-08-21</c:v>
                </c:pt>
                <c:pt idx="190">
                  <c:v>2025-08-23</c:v>
                </c:pt>
                <c:pt idx="191">
                  <c:v>2025-08-24</c:v>
                </c:pt>
                <c:pt idx="192">
                  <c:v>2025-08-25</c:v>
                </c:pt>
                <c:pt idx="193">
                  <c:v>2025-08-28</c:v>
                </c:pt>
                <c:pt idx="194">
                  <c:v>2025-08-29</c:v>
                </c:pt>
                <c:pt idx="195">
                  <c:v>2025-08-30</c:v>
                </c:pt>
                <c:pt idx="196">
                  <c:v>2025-08-31</c:v>
                </c:pt>
                <c:pt idx="197">
                  <c:v>2025-09-01</c:v>
                </c:pt>
                <c:pt idx="198">
                  <c:v>2025-09-02</c:v>
                </c:pt>
                <c:pt idx="199">
                  <c:v>2025-09-03</c:v>
                </c:pt>
                <c:pt idx="200">
                  <c:v>2025-09-05</c:v>
                </c:pt>
                <c:pt idx="201">
                  <c:v>2025-09-06</c:v>
                </c:pt>
                <c:pt idx="202">
                  <c:v>2025-09-07</c:v>
                </c:pt>
                <c:pt idx="203">
                  <c:v>2025-09-08</c:v>
                </c:pt>
                <c:pt idx="204">
                  <c:v>2025-09-09</c:v>
                </c:pt>
                <c:pt idx="205">
                  <c:v>2025-09-10</c:v>
                </c:pt>
                <c:pt idx="206">
                  <c:v>2025-09-11</c:v>
                </c:pt>
                <c:pt idx="207">
                  <c:v>2025-09-13</c:v>
                </c:pt>
                <c:pt idx="208">
                  <c:v>2025-09-14</c:v>
                </c:pt>
                <c:pt idx="209">
                  <c:v>2025-09-15</c:v>
                </c:pt>
                <c:pt idx="210">
                  <c:v>2025-09-18</c:v>
                </c:pt>
                <c:pt idx="211">
                  <c:v>2025-09-19</c:v>
                </c:pt>
                <c:pt idx="212">
                  <c:v>2025-09-23</c:v>
                </c:pt>
                <c:pt idx="213">
                  <c:v>2025-09-24</c:v>
                </c:pt>
                <c:pt idx="214">
                  <c:v>2025-09-26</c:v>
                </c:pt>
                <c:pt idx="215">
                  <c:v>2025-09-27</c:v>
                </c:pt>
                <c:pt idx="216">
                  <c:v>2025-09-28</c:v>
                </c:pt>
                <c:pt idx="217">
                  <c:v>2025-09-29</c:v>
                </c:pt>
                <c:pt idx="218">
                  <c:v>2025-09-30</c:v>
                </c:pt>
                <c:pt idx="219">
                  <c:v>2025-10-01</c:v>
                </c:pt>
                <c:pt idx="220">
                  <c:v>2025-10-02</c:v>
                </c:pt>
                <c:pt idx="221">
                  <c:v>2025-10-03</c:v>
                </c:pt>
                <c:pt idx="222">
                  <c:v>2025-10-04</c:v>
                </c:pt>
                <c:pt idx="223">
                  <c:v>2025-10-05</c:v>
                </c:pt>
                <c:pt idx="224">
                  <c:v>2025-10-08</c:v>
                </c:pt>
                <c:pt idx="225">
                  <c:v>2025-10-09</c:v>
                </c:pt>
                <c:pt idx="226">
                  <c:v>2025-10-10</c:v>
                </c:pt>
                <c:pt idx="227">
                  <c:v>2025-10-11</c:v>
                </c:pt>
                <c:pt idx="228">
                  <c:v>2025-10-12</c:v>
                </c:pt>
                <c:pt idx="229">
                  <c:v>2025-10-13</c:v>
                </c:pt>
                <c:pt idx="230">
                  <c:v>2025-10-14</c:v>
                </c:pt>
                <c:pt idx="231">
                  <c:v>2025-10-15</c:v>
                </c:pt>
                <c:pt idx="232">
                  <c:v>2025-10-16</c:v>
                </c:pt>
                <c:pt idx="233">
                  <c:v>2025-10-17</c:v>
                </c:pt>
                <c:pt idx="234">
                  <c:v>2025-10-18</c:v>
                </c:pt>
                <c:pt idx="235">
                  <c:v>2025-10-19</c:v>
                </c:pt>
                <c:pt idx="236">
                  <c:v>2025-10-20</c:v>
                </c:pt>
                <c:pt idx="237">
                  <c:v>2025-10-21</c:v>
                </c:pt>
                <c:pt idx="238">
                  <c:v>2025-10-22</c:v>
                </c:pt>
                <c:pt idx="239">
                  <c:v>2025-10-23</c:v>
                </c:pt>
                <c:pt idx="240">
                  <c:v>2025-10-24</c:v>
                </c:pt>
                <c:pt idx="241">
                  <c:v>2025-10-25</c:v>
                </c:pt>
                <c:pt idx="242">
                  <c:v>2025-10-26</c:v>
                </c:pt>
                <c:pt idx="243">
                  <c:v>2025-10-27</c:v>
                </c:pt>
                <c:pt idx="244">
                  <c:v>2025-10-28</c:v>
                </c:pt>
                <c:pt idx="245">
                  <c:v>2025-10-29</c:v>
                </c:pt>
                <c:pt idx="246">
                  <c:v>2025-10-30</c:v>
                </c:pt>
                <c:pt idx="247">
                  <c:v>2025-10-31</c:v>
                </c:pt>
                <c:pt idx="248">
                  <c:v>2025-11-01</c:v>
                </c:pt>
                <c:pt idx="249">
                  <c:v>2025-11-02</c:v>
                </c:pt>
                <c:pt idx="250">
                  <c:v>2025-11-03</c:v>
                </c:pt>
                <c:pt idx="251">
                  <c:v>2025-11-04</c:v>
                </c:pt>
                <c:pt idx="252">
                  <c:v>2025-11-05</c:v>
                </c:pt>
                <c:pt idx="253">
                  <c:v>2025-11-06</c:v>
                </c:pt>
                <c:pt idx="254">
                  <c:v>2025-11-07</c:v>
                </c:pt>
                <c:pt idx="255">
                  <c:v>2025-11-08</c:v>
                </c:pt>
                <c:pt idx="256">
                  <c:v>2025-11-09</c:v>
                </c:pt>
                <c:pt idx="257">
                  <c:v>2025-11-10</c:v>
                </c:pt>
                <c:pt idx="258">
                  <c:v>2025-11-11</c:v>
                </c:pt>
                <c:pt idx="259">
                  <c:v>2025-11-12</c:v>
                </c:pt>
                <c:pt idx="260">
                  <c:v>2025-11-13</c:v>
                </c:pt>
                <c:pt idx="261">
                  <c:v>2025-11-14</c:v>
                </c:pt>
                <c:pt idx="262">
                  <c:v>2025-11-15</c:v>
                </c:pt>
                <c:pt idx="263">
                  <c:v>2025-11-17</c:v>
                </c:pt>
                <c:pt idx="264">
                  <c:v>2025-11-18</c:v>
                </c:pt>
                <c:pt idx="265">
                  <c:v>2025-11-19</c:v>
                </c:pt>
                <c:pt idx="266">
                  <c:v>2025-11-21</c:v>
                </c:pt>
                <c:pt idx="267">
                  <c:v>2025-11-23</c:v>
                </c:pt>
                <c:pt idx="268">
                  <c:v>2025-11-24</c:v>
                </c:pt>
                <c:pt idx="269">
                  <c:v>2025-11-25</c:v>
                </c:pt>
                <c:pt idx="270">
                  <c:v>2025-11-26</c:v>
                </c:pt>
                <c:pt idx="271">
                  <c:v>2025-11-27</c:v>
                </c:pt>
                <c:pt idx="272">
                  <c:v>2025-11-28</c:v>
                </c:pt>
                <c:pt idx="273">
                  <c:v>2025-12-01</c:v>
                </c:pt>
                <c:pt idx="274">
                  <c:v>2025-12-02</c:v>
                </c:pt>
                <c:pt idx="275">
                  <c:v>2025-12-03</c:v>
                </c:pt>
                <c:pt idx="276">
                  <c:v>2025-12-04</c:v>
                </c:pt>
                <c:pt idx="277">
                  <c:v>2025-12-05</c:v>
                </c:pt>
                <c:pt idx="278">
                  <c:v>2025-12-06</c:v>
                </c:pt>
                <c:pt idx="279">
                  <c:v>2025-12-08</c:v>
                </c:pt>
                <c:pt idx="280">
                  <c:v>2025-12-09</c:v>
                </c:pt>
                <c:pt idx="281">
                  <c:v>2025-12-11</c:v>
                </c:pt>
                <c:pt idx="282">
                  <c:v>2025-12-12</c:v>
                </c:pt>
                <c:pt idx="283">
                  <c:v>2025-12-13</c:v>
                </c:pt>
                <c:pt idx="284">
                  <c:v>2025-12-15</c:v>
                </c:pt>
                <c:pt idx="285">
                  <c:v>2025-12-16</c:v>
                </c:pt>
                <c:pt idx="286">
                  <c:v>2025-12-17</c:v>
                </c:pt>
                <c:pt idx="287">
                  <c:v>2025-12-18</c:v>
                </c:pt>
                <c:pt idx="288">
                  <c:v>2025-12-19</c:v>
                </c:pt>
                <c:pt idx="289">
                  <c:v>2025-12-20</c:v>
                </c:pt>
                <c:pt idx="290">
                  <c:v>2025-12-23</c:v>
                </c:pt>
                <c:pt idx="291">
                  <c:v>2025-12-24</c:v>
                </c:pt>
                <c:pt idx="292">
                  <c:v>2025-12-25</c:v>
                </c:pt>
                <c:pt idx="293">
                  <c:v>2025-12-26</c:v>
                </c:pt>
                <c:pt idx="294">
                  <c:v>2025-12-27</c:v>
                </c:pt>
                <c:pt idx="295">
                  <c:v>2025-12-28</c:v>
                </c:pt>
                <c:pt idx="296">
                  <c:v>2025-12-29</c:v>
                </c:pt>
                <c:pt idx="297">
                  <c:v>2025-12-31</c:v>
                </c:pt>
              </c:strCache>
            </c:strRef>
          </c:cat>
          <c:val>
            <c:numRef>
              <c:f>'Monthly Trend'!$B$6:$B$304</c:f>
              <c:numCache>
                <c:formatCode>General</c:formatCode>
                <c:ptCount val="298"/>
                <c:pt idx="0">
                  <c:v>139086</c:v>
                </c:pt>
                <c:pt idx="1">
                  <c:v>51886</c:v>
                </c:pt>
                <c:pt idx="2">
                  <c:v>71435</c:v>
                </c:pt>
                <c:pt idx="3">
                  <c:v>119240</c:v>
                </c:pt>
                <c:pt idx="4">
                  <c:v>58230</c:v>
                </c:pt>
                <c:pt idx="5">
                  <c:v>113786</c:v>
                </c:pt>
                <c:pt idx="6">
                  <c:v>5436</c:v>
                </c:pt>
                <c:pt idx="7">
                  <c:v>102594</c:v>
                </c:pt>
                <c:pt idx="8">
                  <c:v>124418</c:v>
                </c:pt>
                <c:pt idx="9">
                  <c:v>42259</c:v>
                </c:pt>
                <c:pt idx="10">
                  <c:v>21548</c:v>
                </c:pt>
                <c:pt idx="11">
                  <c:v>20488</c:v>
                </c:pt>
                <c:pt idx="12">
                  <c:v>9356</c:v>
                </c:pt>
                <c:pt idx="13">
                  <c:v>31180</c:v>
                </c:pt>
                <c:pt idx="14">
                  <c:v>169010</c:v>
                </c:pt>
                <c:pt idx="15">
                  <c:v>213002</c:v>
                </c:pt>
                <c:pt idx="16">
                  <c:v>53164</c:v>
                </c:pt>
                <c:pt idx="17">
                  <c:v>35641</c:v>
                </c:pt>
                <c:pt idx="18">
                  <c:v>39354</c:v>
                </c:pt>
                <c:pt idx="19">
                  <c:v>4966</c:v>
                </c:pt>
                <c:pt idx="20">
                  <c:v>52192</c:v>
                </c:pt>
                <c:pt idx="21">
                  <c:v>18207</c:v>
                </c:pt>
                <c:pt idx="22">
                  <c:v>52155</c:v>
                </c:pt>
                <c:pt idx="23">
                  <c:v>69420</c:v>
                </c:pt>
                <c:pt idx="24">
                  <c:v>20757</c:v>
                </c:pt>
                <c:pt idx="25">
                  <c:v>51854</c:v>
                </c:pt>
                <c:pt idx="26">
                  <c:v>9368</c:v>
                </c:pt>
                <c:pt idx="27">
                  <c:v>155136</c:v>
                </c:pt>
                <c:pt idx="28">
                  <c:v>153629</c:v>
                </c:pt>
                <c:pt idx="29">
                  <c:v>35899</c:v>
                </c:pt>
                <c:pt idx="30">
                  <c:v>37900</c:v>
                </c:pt>
                <c:pt idx="31">
                  <c:v>66797</c:v>
                </c:pt>
                <c:pt idx="32">
                  <c:v>13320</c:v>
                </c:pt>
                <c:pt idx="33">
                  <c:v>99666</c:v>
                </c:pt>
                <c:pt idx="34">
                  <c:v>41224</c:v>
                </c:pt>
                <c:pt idx="35">
                  <c:v>125104</c:v>
                </c:pt>
                <c:pt idx="36">
                  <c:v>18959</c:v>
                </c:pt>
                <c:pt idx="37">
                  <c:v>35680</c:v>
                </c:pt>
                <c:pt idx="38">
                  <c:v>3105</c:v>
                </c:pt>
                <c:pt idx="39">
                  <c:v>1254</c:v>
                </c:pt>
                <c:pt idx="40">
                  <c:v>100294</c:v>
                </c:pt>
                <c:pt idx="41">
                  <c:v>103604</c:v>
                </c:pt>
                <c:pt idx="42">
                  <c:v>72677</c:v>
                </c:pt>
                <c:pt idx="43">
                  <c:v>97494</c:v>
                </c:pt>
                <c:pt idx="44">
                  <c:v>73596</c:v>
                </c:pt>
                <c:pt idx="45">
                  <c:v>129980</c:v>
                </c:pt>
                <c:pt idx="46">
                  <c:v>51278</c:v>
                </c:pt>
                <c:pt idx="47">
                  <c:v>154701</c:v>
                </c:pt>
                <c:pt idx="48">
                  <c:v>98936</c:v>
                </c:pt>
                <c:pt idx="49">
                  <c:v>8704</c:v>
                </c:pt>
                <c:pt idx="50">
                  <c:v>24750</c:v>
                </c:pt>
                <c:pt idx="51">
                  <c:v>43080</c:v>
                </c:pt>
                <c:pt idx="52">
                  <c:v>122528</c:v>
                </c:pt>
                <c:pt idx="53">
                  <c:v>106516</c:v>
                </c:pt>
                <c:pt idx="54">
                  <c:v>71738</c:v>
                </c:pt>
                <c:pt idx="55">
                  <c:v>168189</c:v>
                </c:pt>
                <c:pt idx="56">
                  <c:v>10170</c:v>
                </c:pt>
                <c:pt idx="57">
                  <c:v>133005</c:v>
                </c:pt>
                <c:pt idx="58">
                  <c:v>22725</c:v>
                </c:pt>
                <c:pt idx="59">
                  <c:v>153075</c:v>
                </c:pt>
                <c:pt idx="60">
                  <c:v>8952</c:v>
                </c:pt>
                <c:pt idx="61">
                  <c:v>9180</c:v>
                </c:pt>
                <c:pt idx="62">
                  <c:v>45118</c:v>
                </c:pt>
                <c:pt idx="63">
                  <c:v>32223</c:v>
                </c:pt>
                <c:pt idx="64">
                  <c:v>46120</c:v>
                </c:pt>
                <c:pt idx="65">
                  <c:v>85938</c:v>
                </c:pt>
                <c:pt idx="66">
                  <c:v>12207</c:v>
                </c:pt>
                <c:pt idx="67">
                  <c:v>306373</c:v>
                </c:pt>
                <c:pt idx="68">
                  <c:v>54769</c:v>
                </c:pt>
                <c:pt idx="69">
                  <c:v>72330</c:v>
                </c:pt>
                <c:pt idx="70">
                  <c:v>98820</c:v>
                </c:pt>
                <c:pt idx="71">
                  <c:v>5796</c:v>
                </c:pt>
                <c:pt idx="72">
                  <c:v>88218</c:v>
                </c:pt>
                <c:pt idx="73">
                  <c:v>197796</c:v>
                </c:pt>
                <c:pt idx="74">
                  <c:v>116757</c:v>
                </c:pt>
                <c:pt idx="75">
                  <c:v>82484</c:v>
                </c:pt>
                <c:pt idx="76">
                  <c:v>15777</c:v>
                </c:pt>
                <c:pt idx="77">
                  <c:v>68100</c:v>
                </c:pt>
                <c:pt idx="78">
                  <c:v>47266</c:v>
                </c:pt>
                <c:pt idx="79">
                  <c:v>89786</c:v>
                </c:pt>
                <c:pt idx="80">
                  <c:v>185473</c:v>
                </c:pt>
                <c:pt idx="81">
                  <c:v>127865</c:v>
                </c:pt>
                <c:pt idx="82">
                  <c:v>84078</c:v>
                </c:pt>
                <c:pt idx="83">
                  <c:v>73381</c:v>
                </c:pt>
                <c:pt idx="84">
                  <c:v>46662</c:v>
                </c:pt>
                <c:pt idx="85">
                  <c:v>61440</c:v>
                </c:pt>
                <c:pt idx="86">
                  <c:v>14536</c:v>
                </c:pt>
                <c:pt idx="87">
                  <c:v>37017</c:v>
                </c:pt>
                <c:pt idx="88">
                  <c:v>9570</c:v>
                </c:pt>
                <c:pt idx="89">
                  <c:v>3220</c:v>
                </c:pt>
                <c:pt idx="90">
                  <c:v>104555</c:v>
                </c:pt>
                <c:pt idx="91">
                  <c:v>101102</c:v>
                </c:pt>
                <c:pt idx="92">
                  <c:v>61510</c:v>
                </c:pt>
                <c:pt idx="93">
                  <c:v>57631</c:v>
                </c:pt>
                <c:pt idx="94">
                  <c:v>22410</c:v>
                </c:pt>
                <c:pt idx="95">
                  <c:v>116358</c:v>
                </c:pt>
                <c:pt idx="96">
                  <c:v>38965</c:v>
                </c:pt>
                <c:pt idx="97">
                  <c:v>105630</c:v>
                </c:pt>
                <c:pt idx="98">
                  <c:v>85072</c:v>
                </c:pt>
                <c:pt idx="99">
                  <c:v>9395</c:v>
                </c:pt>
                <c:pt idx="100">
                  <c:v>9162</c:v>
                </c:pt>
                <c:pt idx="101">
                  <c:v>111800</c:v>
                </c:pt>
                <c:pt idx="102">
                  <c:v>61371</c:v>
                </c:pt>
                <c:pt idx="103">
                  <c:v>96790</c:v>
                </c:pt>
                <c:pt idx="104">
                  <c:v>44478</c:v>
                </c:pt>
                <c:pt idx="105">
                  <c:v>78660</c:v>
                </c:pt>
                <c:pt idx="106">
                  <c:v>13592</c:v>
                </c:pt>
                <c:pt idx="107">
                  <c:v>40215</c:v>
                </c:pt>
                <c:pt idx="108">
                  <c:v>99992</c:v>
                </c:pt>
                <c:pt idx="109">
                  <c:v>5775</c:v>
                </c:pt>
                <c:pt idx="110">
                  <c:v>197448</c:v>
                </c:pt>
                <c:pt idx="111">
                  <c:v>140414</c:v>
                </c:pt>
                <c:pt idx="112">
                  <c:v>17280</c:v>
                </c:pt>
                <c:pt idx="113">
                  <c:v>35255</c:v>
                </c:pt>
                <c:pt idx="114">
                  <c:v>119531</c:v>
                </c:pt>
                <c:pt idx="115">
                  <c:v>177099</c:v>
                </c:pt>
                <c:pt idx="116">
                  <c:v>94816</c:v>
                </c:pt>
                <c:pt idx="117">
                  <c:v>133995</c:v>
                </c:pt>
                <c:pt idx="118">
                  <c:v>64631</c:v>
                </c:pt>
                <c:pt idx="119">
                  <c:v>11627</c:v>
                </c:pt>
                <c:pt idx="120">
                  <c:v>70890</c:v>
                </c:pt>
                <c:pt idx="121">
                  <c:v>178121</c:v>
                </c:pt>
                <c:pt idx="122">
                  <c:v>25036</c:v>
                </c:pt>
                <c:pt idx="123">
                  <c:v>31735</c:v>
                </c:pt>
                <c:pt idx="124">
                  <c:v>87997</c:v>
                </c:pt>
                <c:pt idx="125">
                  <c:v>26898</c:v>
                </c:pt>
                <c:pt idx="126">
                  <c:v>93581</c:v>
                </c:pt>
                <c:pt idx="127">
                  <c:v>108524</c:v>
                </c:pt>
                <c:pt idx="128">
                  <c:v>42025</c:v>
                </c:pt>
                <c:pt idx="129">
                  <c:v>160858</c:v>
                </c:pt>
                <c:pt idx="130">
                  <c:v>64680</c:v>
                </c:pt>
                <c:pt idx="131">
                  <c:v>1646</c:v>
                </c:pt>
                <c:pt idx="132">
                  <c:v>71846</c:v>
                </c:pt>
                <c:pt idx="133">
                  <c:v>137567</c:v>
                </c:pt>
                <c:pt idx="134">
                  <c:v>29490</c:v>
                </c:pt>
                <c:pt idx="135">
                  <c:v>15936</c:v>
                </c:pt>
                <c:pt idx="136">
                  <c:v>23795</c:v>
                </c:pt>
                <c:pt idx="137">
                  <c:v>37436</c:v>
                </c:pt>
                <c:pt idx="138">
                  <c:v>67977</c:v>
                </c:pt>
                <c:pt idx="139">
                  <c:v>27944</c:v>
                </c:pt>
                <c:pt idx="140">
                  <c:v>66261</c:v>
                </c:pt>
                <c:pt idx="141">
                  <c:v>48882</c:v>
                </c:pt>
                <c:pt idx="142">
                  <c:v>100263</c:v>
                </c:pt>
                <c:pt idx="143">
                  <c:v>44775</c:v>
                </c:pt>
                <c:pt idx="144">
                  <c:v>167363</c:v>
                </c:pt>
                <c:pt idx="145">
                  <c:v>190450</c:v>
                </c:pt>
                <c:pt idx="146">
                  <c:v>58107</c:v>
                </c:pt>
                <c:pt idx="147">
                  <c:v>20470</c:v>
                </c:pt>
                <c:pt idx="148">
                  <c:v>39092</c:v>
                </c:pt>
                <c:pt idx="149">
                  <c:v>8855</c:v>
                </c:pt>
                <c:pt idx="150">
                  <c:v>102401</c:v>
                </c:pt>
                <c:pt idx="151">
                  <c:v>47925</c:v>
                </c:pt>
                <c:pt idx="152">
                  <c:v>7945</c:v>
                </c:pt>
                <c:pt idx="153">
                  <c:v>74633</c:v>
                </c:pt>
                <c:pt idx="154">
                  <c:v>68015</c:v>
                </c:pt>
                <c:pt idx="155">
                  <c:v>96705</c:v>
                </c:pt>
                <c:pt idx="156">
                  <c:v>29244</c:v>
                </c:pt>
                <c:pt idx="157">
                  <c:v>38640</c:v>
                </c:pt>
                <c:pt idx="158">
                  <c:v>29380</c:v>
                </c:pt>
                <c:pt idx="159">
                  <c:v>111427</c:v>
                </c:pt>
                <c:pt idx="160">
                  <c:v>112365</c:v>
                </c:pt>
                <c:pt idx="161">
                  <c:v>96160</c:v>
                </c:pt>
                <c:pt idx="162">
                  <c:v>114362</c:v>
                </c:pt>
                <c:pt idx="163">
                  <c:v>46040</c:v>
                </c:pt>
                <c:pt idx="164">
                  <c:v>114110</c:v>
                </c:pt>
                <c:pt idx="165">
                  <c:v>70132</c:v>
                </c:pt>
                <c:pt idx="166">
                  <c:v>78195</c:v>
                </c:pt>
                <c:pt idx="167">
                  <c:v>144324</c:v>
                </c:pt>
                <c:pt idx="168">
                  <c:v>182592</c:v>
                </c:pt>
                <c:pt idx="169">
                  <c:v>11163</c:v>
                </c:pt>
                <c:pt idx="170">
                  <c:v>61920</c:v>
                </c:pt>
                <c:pt idx="171">
                  <c:v>35846</c:v>
                </c:pt>
                <c:pt idx="172">
                  <c:v>49011</c:v>
                </c:pt>
                <c:pt idx="173">
                  <c:v>54891</c:v>
                </c:pt>
                <c:pt idx="174">
                  <c:v>49047</c:v>
                </c:pt>
                <c:pt idx="175">
                  <c:v>43188</c:v>
                </c:pt>
                <c:pt idx="176">
                  <c:v>142051</c:v>
                </c:pt>
                <c:pt idx="177">
                  <c:v>848</c:v>
                </c:pt>
                <c:pt idx="178">
                  <c:v>103986</c:v>
                </c:pt>
                <c:pt idx="179">
                  <c:v>135834</c:v>
                </c:pt>
                <c:pt idx="180">
                  <c:v>11938</c:v>
                </c:pt>
                <c:pt idx="181">
                  <c:v>25030</c:v>
                </c:pt>
                <c:pt idx="182">
                  <c:v>40220</c:v>
                </c:pt>
                <c:pt idx="183">
                  <c:v>139209</c:v>
                </c:pt>
                <c:pt idx="184">
                  <c:v>109819</c:v>
                </c:pt>
                <c:pt idx="185">
                  <c:v>105688</c:v>
                </c:pt>
                <c:pt idx="186">
                  <c:v>42244</c:v>
                </c:pt>
                <c:pt idx="187">
                  <c:v>96017</c:v>
                </c:pt>
                <c:pt idx="188">
                  <c:v>11101</c:v>
                </c:pt>
                <c:pt idx="189">
                  <c:v>165404</c:v>
                </c:pt>
                <c:pt idx="190">
                  <c:v>87805</c:v>
                </c:pt>
                <c:pt idx="191">
                  <c:v>12534</c:v>
                </c:pt>
                <c:pt idx="192">
                  <c:v>28014</c:v>
                </c:pt>
                <c:pt idx="193">
                  <c:v>56370</c:v>
                </c:pt>
                <c:pt idx="194">
                  <c:v>81280</c:v>
                </c:pt>
                <c:pt idx="195">
                  <c:v>105710</c:v>
                </c:pt>
                <c:pt idx="196">
                  <c:v>12765</c:v>
                </c:pt>
                <c:pt idx="197">
                  <c:v>16452</c:v>
                </c:pt>
                <c:pt idx="198">
                  <c:v>139738</c:v>
                </c:pt>
                <c:pt idx="199">
                  <c:v>64132</c:v>
                </c:pt>
                <c:pt idx="200">
                  <c:v>39008</c:v>
                </c:pt>
                <c:pt idx="201">
                  <c:v>145036</c:v>
                </c:pt>
                <c:pt idx="202">
                  <c:v>64721</c:v>
                </c:pt>
                <c:pt idx="203">
                  <c:v>84292</c:v>
                </c:pt>
                <c:pt idx="204">
                  <c:v>38448</c:v>
                </c:pt>
                <c:pt idx="205">
                  <c:v>136738</c:v>
                </c:pt>
                <c:pt idx="206">
                  <c:v>8876</c:v>
                </c:pt>
                <c:pt idx="207">
                  <c:v>53237</c:v>
                </c:pt>
                <c:pt idx="208">
                  <c:v>59477</c:v>
                </c:pt>
                <c:pt idx="209">
                  <c:v>148892</c:v>
                </c:pt>
                <c:pt idx="210">
                  <c:v>5205</c:v>
                </c:pt>
                <c:pt idx="211">
                  <c:v>9726</c:v>
                </c:pt>
                <c:pt idx="212">
                  <c:v>34605</c:v>
                </c:pt>
                <c:pt idx="213">
                  <c:v>53412</c:v>
                </c:pt>
                <c:pt idx="214">
                  <c:v>100078</c:v>
                </c:pt>
                <c:pt idx="215">
                  <c:v>86022</c:v>
                </c:pt>
                <c:pt idx="216">
                  <c:v>48008</c:v>
                </c:pt>
                <c:pt idx="217">
                  <c:v>93656</c:v>
                </c:pt>
                <c:pt idx="218">
                  <c:v>7764</c:v>
                </c:pt>
                <c:pt idx="219">
                  <c:v>47973</c:v>
                </c:pt>
                <c:pt idx="220">
                  <c:v>66537</c:v>
                </c:pt>
                <c:pt idx="221">
                  <c:v>12947</c:v>
                </c:pt>
                <c:pt idx="222">
                  <c:v>78080</c:v>
                </c:pt>
                <c:pt idx="223">
                  <c:v>58035</c:v>
                </c:pt>
                <c:pt idx="224">
                  <c:v>190650</c:v>
                </c:pt>
                <c:pt idx="225">
                  <c:v>232545</c:v>
                </c:pt>
                <c:pt idx="226">
                  <c:v>98488</c:v>
                </c:pt>
                <c:pt idx="227">
                  <c:v>32835</c:v>
                </c:pt>
                <c:pt idx="228">
                  <c:v>34368</c:v>
                </c:pt>
                <c:pt idx="229">
                  <c:v>55790</c:v>
                </c:pt>
                <c:pt idx="230">
                  <c:v>5748</c:v>
                </c:pt>
                <c:pt idx="231">
                  <c:v>28971</c:v>
                </c:pt>
                <c:pt idx="232">
                  <c:v>53129</c:v>
                </c:pt>
                <c:pt idx="233">
                  <c:v>46046</c:v>
                </c:pt>
                <c:pt idx="234">
                  <c:v>205457</c:v>
                </c:pt>
                <c:pt idx="235">
                  <c:v>20664</c:v>
                </c:pt>
                <c:pt idx="236">
                  <c:v>13210</c:v>
                </c:pt>
                <c:pt idx="237">
                  <c:v>45668</c:v>
                </c:pt>
                <c:pt idx="238">
                  <c:v>29889</c:v>
                </c:pt>
                <c:pt idx="239">
                  <c:v>23560</c:v>
                </c:pt>
                <c:pt idx="240">
                  <c:v>25356</c:v>
                </c:pt>
                <c:pt idx="241">
                  <c:v>34575</c:v>
                </c:pt>
                <c:pt idx="242">
                  <c:v>78278</c:v>
                </c:pt>
                <c:pt idx="243">
                  <c:v>156148</c:v>
                </c:pt>
                <c:pt idx="244">
                  <c:v>134701</c:v>
                </c:pt>
                <c:pt idx="245">
                  <c:v>91753</c:v>
                </c:pt>
                <c:pt idx="246">
                  <c:v>246819</c:v>
                </c:pt>
                <c:pt idx="247">
                  <c:v>23510</c:v>
                </c:pt>
                <c:pt idx="248">
                  <c:v>28792</c:v>
                </c:pt>
                <c:pt idx="249">
                  <c:v>52720</c:v>
                </c:pt>
                <c:pt idx="250">
                  <c:v>105330</c:v>
                </c:pt>
                <c:pt idx="251">
                  <c:v>41436</c:v>
                </c:pt>
                <c:pt idx="252">
                  <c:v>8775</c:v>
                </c:pt>
                <c:pt idx="253">
                  <c:v>152247</c:v>
                </c:pt>
                <c:pt idx="254">
                  <c:v>80040</c:v>
                </c:pt>
                <c:pt idx="255">
                  <c:v>110117</c:v>
                </c:pt>
                <c:pt idx="256">
                  <c:v>78111</c:v>
                </c:pt>
                <c:pt idx="257">
                  <c:v>101192</c:v>
                </c:pt>
                <c:pt idx="258">
                  <c:v>70175</c:v>
                </c:pt>
                <c:pt idx="259">
                  <c:v>40906</c:v>
                </c:pt>
                <c:pt idx="260">
                  <c:v>140863</c:v>
                </c:pt>
                <c:pt idx="261">
                  <c:v>71440</c:v>
                </c:pt>
                <c:pt idx="262">
                  <c:v>15750</c:v>
                </c:pt>
                <c:pt idx="263">
                  <c:v>16906</c:v>
                </c:pt>
                <c:pt idx="264">
                  <c:v>141086</c:v>
                </c:pt>
                <c:pt idx="265">
                  <c:v>54507</c:v>
                </c:pt>
                <c:pt idx="266">
                  <c:v>44316</c:v>
                </c:pt>
                <c:pt idx="267">
                  <c:v>187859</c:v>
                </c:pt>
                <c:pt idx="268">
                  <c:v>46653</c:v>
                </c:pt>
                <c:pt idx="269">
                  <c:v>56098</c:v>
                </c:pt>
                <c:pt idx="270">
                  <c:v>9540</c:v>
                </c:pt>
                <c:pt idx="271">
                  <c:v>133740</c:v>
                </c:pt>
                <c:pt idx="272">
                  <c:v>21670</c:v>
                </c:pt>
                <c:pt idx="273">
                  <c:v>37809</c:v>
                </c:pt>
                <c:pt idx="274">
                  <c:v>142983</c:v>
                </c:pt>
                <c:pt idx="275">
                  <c:v>65502</c:v>
                </c:pt>
                <c:pt idx="276">
                  <c:v>309183</c:v>
                </c:pt>
                <c:pt idx="277">
                  <c:v>105795</c:v>
                </c:pt>
                <c:pt idx="278">
                  <c:v>56214</c:v>
                </c:pt>
                <c:pt idx="279">
                  <c:v>2220</c:v>
                </c:pt>
                <c:pt idx="280">
                  <c:v>30404</c:v>
                </c:pt>
                <c:pt idx="281">
                  <c:v>198165</c:v>
                </c:pt>
                <c:pt idx="282">
                  <c:v>72468</c:v>
                </c:pt>
                <c:pt idx="283">
                  <c:v>103371</c:v>
                </c:pt>
                <c:pt idx="284">
                  <c:v>151008</c:v>
                </c:pt>
                <c:pt idx="285">
                  <c:v>11078</c:v>
                </c:pt>
                <c:pt idx="286">
                  <c:v>16717</c:v>
                </c:pt>
                <c:pt idx="287">
                  <c:v>20174</c:v>
                </c:pt>
                <c:pt idx="288">
                  <c:v>124410</c:v>
                </c:pt>
                <c:pt idx="289">
                  <c:v>100792</c:v>
                </c:pt>
                <c:pt idx="290">
                  <c:v>15936</c:v>
                </c:pt>
                <c:pt idx="291">
                  <c:v>64650</c:v>
                </c:pt>
                <c:pt idx="292">
                  <c:v>11780</c:v>
                </c:pt>
                <c:pt idx="293">
                  <c:v>24296</c:v>
                </c:pt>
                <c:pt idx="294">
                  <c:v>47012</c:v>
                </c:pt>
                <c:pt idx="295">
                  <c:v>57504</c:v>
                </c:pt>
                <c:pt idx="296">
                  <c:v>56820</c:v>
                </c:pt>
                <c:pt idx="297">
                  <c:v>57901</c:v>
                </c:pt>
              </c:numCache>
            </c:numRef>
          </c:val>
          <c:smooth val="0"/>
          <c:extLst>
            <c:ext xmlns:c16="http://schemas.microsoft.com/office/drawing/2014/chart" uri="{C3380CC4-5D6E-409C-BE32-E72D297353CC}">
              <c16:uniqueId val="{00000000-FDAA-4C67-8AF9-1B0AC423E355}"/>
            </c:ext>
          </c:extLst>
        </c:ser>
        <c:dLbls>
          <c:showLegendKey val="0"/>
          <c:showVal val="0"/>
          <c:showCatName val="0"/>
          <c:showSerName val="0"/>
          <c:showPercent val="0"/>
          <c:showBubbleSize val="0"/>
        </c:dLbls>
        <c:marker val="1"/>
        <c:smooth val="0"/>
        <c:axId val="1049584784"/>
        <c:axId val="1049581424"/>
      </c:lineChart>
      <c:catAx>
        <c:axId val="10495847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ln>
                  <a:noFill/>
                </a:ln>
                <a:solidFill>
                  <a:schemeClr val="tx2"/>
                </a:solidFill>
                <a:latin typeface="+mn-lt"/>
                <a:ea typeface="+mn-ea"/>
                <a:cs typeface="+mn-cs"/>
              </a:defRPr>
            </a:pPr>
            <a:endParaRPr lang="en-US"/>
          </a:p>
        </c:txPr>
        <c:crossAx val="1049581424"/>
        <c:crosses val="autoZero"/>
        <c:auto val="1"/>
        <c:lblAlgn val="ctr"/>
        <c:lblOffset val="100"/>
        <c:noMultiLvlLbl val="0"/>
      </c:catAx>
      <c:valAx>
        <c:axId val="104958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ln>
                  <a:noFill/>
                </a:ln>
                <a:solidFill>
                  <a:schemeClr val="tx2"/>
                </a:solidFill>
                <a:latin typeface="+mn-lt"/>
                <a:ea typeface="+mn-ea"/>
                <a:cs typeface="+mn-cs"/>
              </a:defRPr>
            </a:pPr>
            <a:endParaRPr lang="en-US"/>
          </a:p>
        </c:txPr>
        <c:crossAx val="104958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1"/>
      </a:solidFill>
      <a:round/>
    </a:ln>
    <a:effectLst>
      <a:outerShdw blurRad="50800" dist="38100" dir="5400000" algn="t" rotWithShape="0">
        <a:prstClr val="black">
          <a:alpha val="34000"/>
        </a:prstClr>
      </a:outerShdw>
    </a:effectLst>
  </c:spPr>
  <c:txPr>
    <a:bodyPr/>
    <a:lstStyle/>
    <a:p>
      <a:pPr>
        <a:defRPr>
          <a:ln>
            <a:noFill/>
          </a:ln>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[Sales_Profit_Project.xlsx]Region Wise Sales &amp; Profit!PivotTable1</c:name>
    <c:fmtId val="2"/>
  </c:pivotSource>
  <c:chart>
    <c:title>
      <c:tx>
        <c:rich>
          <a:bodyPr rot="0" spcFirstLastPara="1" vertOverflow="ellipsis" vert="horz" wrap="square" anchor="ctr" anchorCtr="1"/>
          <a:lstStyle/>
          <a:p>
            <a:pPr>
              <a:defRPr lang="en-US" sz="1800" b="1" i="0" u="none" strike="noStrike" kern="1200" baseline="0">
                <a:ln>
                  <a:noFill/>
                </a:ln>
                <a:solidFill>
                  <a:schemeClr val="tx2"/>
                </a:solidFill>
                <a:latin typeface="+mn-lt"/>
                <a:ea typeface="+mn-ea"/>
                <a:cs typeface="+mn-cs"/>
              </a:defRPr>
            </a:pPr>
            <a:r>
              <a:rPr lang="en-US" sz="1800" b="1"/>
              <a:t>Total</a:t>
            </a:r>
          </a:p>
        </c:rich>
      </c:tx>
      <c:overlay val="0"/>
      <c:spPr>
        <a:noFill/>
        <a:ln>
          <a:noFill/>
        </a:ln>
        <a:effectLst/>
      </c:spPr>
      <c:txPr>
        <a:bodyPr rot="0" spcFirstLastPara="1" vertOverflow="ellipsis" vert="horz" wrap="square" anchor="ctr" anchorCtr="1"/>
        <a:lstStyle/>
        <a:p>
          <a:pPr>
            <a:defRPr lang="en-US" sz="1800" b="1" i="0" u="none" strike="noStrike" kern="1200" baseline="0">
              <a:ln>
                <a:noFill/>
              </a:ln>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ln>
                    <a:noFill/>
                  </a:ln>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Wise Sales &amp; Profit'!$B$5</c:f>
              <c:strCache>
                <c:ptCount val="1"/>
                <c:pt idx="0">
                  <c:v>Sum of Total_sales</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CFF-4384-A238-B603E89B38F2}"/>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CFF-4384-A238-B603E89B38F2}"/>
              </c:ext>
            </c:extLst>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CFF-4384-A238-B603E89B38F2}"/>
              </c:ext>
            </c:extLst>
          </c:dPt>
          <c:dPt>
            <c:idx val="3"/>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CFF-4384-A238-B603E89B38F2}"/>
              </c:ext>
            </c:extLst>
          </c:dPt>
          <c:dLbls>
            <c:spPr>
              <a:noFill/>
              <a:ln>
                <a:noFill/>
              </a:ln>
              <a:effectLst/>
            </c:spPr>
            <c:txPr>
              <a:bodyPr rot="0" spcFirstLastPara="1" vertOverflow="ellipsis" vert="horz" wrap="square" anchor="ctr" anchorCtr="1"/>
              <a:lstStyle/>
              <a:p>
                <a:pPr>
                  <a:defRPr lang="en-US" sz="900" b="0" i="0" u="none" strike="noStrike" kern="1200" baseline="0">
                    <a:ln>
                      <a:noFill/>
                    </a:ln>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'Region Wise Sales &amp; Profit'!$A$6:$A$10</c:f>
              <c:strCache>
                <c:ptCount val="4"/>
                <c:pt idx="0">
                  <c:v>East</c:v>
                </c:pt>
                <c:pt idx="1">
                  <c:v>North</c:v>
                </c:pt>
                <c:pt idx="2">
                  <c:v>South</c:v>
                </c:pt>
                <c:pt idx="3">
                  <c:v>West</c:v>
                </c:pt>
              </c:strCache>
            </c:strRef>
          </c:cat>
          <c:val>
            <c:numRef>
              <c:f>'Region Wise Sales &amp; Profit'!$B$6:$B$10</c:f>
              <c:numCache>
                <c:formatCode>General</c:formatCode>
                <c:ptCount val="4"/>
                <c:pt idx="0">
                  <c:v>5026376</c:v>
                </c:pt>
                <c:pt idx="1">
                  <c:v>4896499</c:v>
                </c:pt>
                <c:pt idx="2">
                  <c:v>5543129</c:v>
                </c:pt>
                <c:pt idx="3">
                  <c:v>5888294</c:v>
                </c:pt>
              </c:numCache>
            </c:numRef>
          </c:val>
          <c:extLst>
            <c:ext xmlns:c16="http://schemas.microsoft.com/office/drawing/2014/chart" uri="{C3380CC4-5D6E-409C-BE32-E72D297353CC}">
              <c16:uniqueId val="{00000008-3CFF-4384-A238-B603E89B38F2}"/>
            </c:ext>
          </c:extLst>
        </c:ser>
        <c:ser>
          <c:idx val="1"/>
          <c:order val="1"/>
          <c:tx>
            <c:strRef>
              <c:f>'Region Wise Sales &amp; Profit'!$C$5</c:f>
              <c:strCache>
                <c:ptCount val="1"/>
                <c:pt idx="0">
                  <c:v>Sum of Profit</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A-3CFF-4384-A238-B603E89B38F2}"/>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C-3CFF-4384-A238-B603E89B38F2}"/>
              </c:ext>
            </c:extLst>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E-3CFF-4384-A238-B603E89B38F2}"/>
              </c:ext>
            </c:extLst>
          </c:dPt>
          <c:dPt>
            <c:idx val="3"/>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0-3CFF-4384-A238-B603E89B38F2}"/>
              </c:ext>
            </c:extLst>
          </c:dPt>
          <c:dLbls>
            <c:spPr>
              <a:noFill/>
              <a:ln>
                <a:noFill/>
              </a:ln>
              <a:effectLst/>
            </c:spPr>
            <c:txPr>
              <a:bodyPr rot="0" spcFirstLastPara="1" vertOverflow="ellipsis" vert="horz" wrap="square" anchor="ctr" anchorCtr="1"/>
              <a:lstStyle/>
              <a:p>
                <a:pPr>
                  <a:defRPr lang="en-US" sz="900" b="0" i="0" u="none" strike="noStrike" kern="1200" baseline="0">
                    <a:ln>
                      <a:noFill/>
                    </a:ln>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'Region Wise Sales &amp; Profit'!$A$6:$A$10</c:f>
              <c:strCache>
                <c:ptCount val="4"/>
                <c:pt idx="0">
                  <c:v>East</c:v>
                </c:pt>
                <c:pt idx="1">
                  <c:v>North</c:v>
                </c:pt>
                <c:pt idx="2">
                  <c:v>South</c:v>
                </c:pt>
                <c:pt idx="3">
                  <c:v>West</c:v>
                </c:pt>
              </c:strCache>
            </c:strRef>
          </c:cat>
          <c:val>
            <c:numRef>
              <c:f>'Region Wise Sales &amp; Profit'!$C$6:$C$10</c:f>
              <c:numCache>
                <c:formatCode>General</c:formatCode>
                <c:ptCount val="4"/>
                <c:pt idx="0">
                  <c:v>-7814124</c:v>
                </c:pt>
                <c:pt idx="1">
                  <c:v>-8391501</c:v>
                </c:pt>
                <c:pt idx="2">
                  <c:v>-5394371</c:v>
                </c:pt>
                <c:pt idx="3">
                  <c:v>-6969706</c:v>
                </c:pt>
              </c:numCache>
            </c:numRef>
          </c:val>
          <c:extLst>
            <c:ext xmlns:c16="http://schemas.microsoft.com/office/drawing/2014/chart" uri="{C3380CC4-5D6E-409C-BE32-E72D297353CC}">
              <c16:uniqueId val="{00000011-3CFF-4384-A238-B603E89B38F2}"/>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lang="en-US" sz="1200" b="0" i="0" u="none" strike="noStrike" kern="1200" baseline="0">
              <a:ln>
                <a:noFill/>
              </a:ln>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dk1">
          <a:lumMod val="15000"/>
          <a:lumOff val="85000"/>
        </a:schemeClr>
      </a:solidFill>
      <a:round/>
    </a:ln>
    <a:effectLst/>
  </c:spPr>
  <c:txPr>
    <a:bodyPr/>
    <a:lstStyle/>
    <a:p>
      <a:pPr>
        <a:defRPr lang="en-US" sz="900" b="0" i="0" u="none" strike="noStrike" kern="1200" baseline="0">
          <a:ln>
            <a:noFill/>
          </a:ln>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[Sales_Profit_Project.xlsx]Category wise sales!PivotTable2</c:name>
    <c:fmtId val="2"/>
  </c:pivotSource>
  <c:chart>
    <c:title>
      <c:overlay val="0"/>
      <c:spPr>
        <a:noFill/>
        <a:ln>
          <a:noFill/>
        </a:ln>
        <a:effectLst/>
      </c:spPr>
      <c:txPr>
        <a:bodyPr rot="0" spcFirstLastPara="1" vertOverflow="ellipsis" vert="horz" wrap="square" anchor="ctr" anchorCtr="1"/>
        <a:lstStyle/>
        <a:p>
          <a:pPr>
            <a:defRPr lang="en-US" sz="1800" b="1" i="0" u="none" strike="noStrike" kern="1200" baseline="0">
              <a:ln>
                <a:noFill/>
              </a:ln>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ln>
                    <a:no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04830789184751"/>
          <c:y val="0.25476820355267532"/>
          <c:w val="0.73363704882972536"/>
          <c:h val="0.60103066315707998"/>
        </c:manualLayout>
      </c:layout>
      <c:barChart>
        <c:barDir val="col"/>
        <c:grouping val="stacked"/>
        <c:varyColors val="0"/>
        <c:ser>
          <c:idx val="0"/>
          <c:order val="0"/>
          <c:tx>
            <c:strRef>
              <c:f>'Category wise sales'!$B$5</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'Category wise sales'!$A$6:$A$9</c:f>
              <c:strCache>
                <c:ptCount val="3"/>
                <c:pt idx="0">
                  <c:v>Clothing</c:v>
                </c:pt>
                <c:pt idx="1">
                  <c:v>Electronics</c:v>
                </c:pt>
                <c:pt idx="2">
                  <c:v>Furniture</c:v>
                </c:pt>
              </c:strCache>
            </c:strRef>
          </c:cat>
          <c:val>
            <c:numRef>
              <c:f>'Category wise sales'!$B$6:$B$9</c:f>
              <c:numCache>
                <c:formatCode>General</c:formatCode>
                <c:ptCount val="3"/>
                <c:pt idx="0">
                  <c:v>5877819</c:v>
                </c:pt>
                <c:pt idx="1">
                  <c:v>7954974</c:v>
                </c:pt>
                <c:pt idx="2">
                  <c:v>7521505</c:v>
                </c:pt>
              </c:numCache>
            </c:numRef>
          </c:val>
          <c:extLst>
            <c:ext xmlns:c16="http://schemas.microsoft.com/office/drawing/2014/chart" uri="{C3380CC4-5D6E-409C-BE32-E72D297353CC}">
              <c16:uniqueId val="{00000000-29AB-4518-B510-8A18C7E85665}"/>
            </c:ext>
          </c:extLst>
        </c:ser>
        <c:dLbls>
          <c:showLegendKey val="0"/>
          <c:showVal val="0"/>
          <c:showCatName val="0"/>
          <c:showSerName val="0"/>
          <c:showPercent val="0"/>
          <c:showBubbleSize val="0"/>
        </c:dLbls>
        <c:gapWidth val="150"/>
        <c:overlap val="100"/>
        <c:axId val="1385822288"/>
        <c:axId val="1385823248"/>
      </c:barChart>
      <c:catAx>
        <c:axId val="13858222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1400" b="0" i="0" u="none" strike="noStrike" kern="1200" baseline="0">
                <a:ln>
                  <a:noFill/>
                </a:ln>
                <a:solidFill>
                  <a:schemeClr val="tx2"/>
                </a:solidFill>
                <a:latin typeface="+mn-lt"/>
                <a:ea typeface="+mn-ea"/>
                <a:cs typeface="+mn-cs"/>
              </a:defRPr>
            </a:pPr>
            <a:endParaRPr lang="en-US"/>
          </a:p>
        </c:txPr>
        <c:crossAx val="1385823248"/>
        <c:crosses val="autoZero"/>
        <c:auto val="1"/>
        <c:lblAlgn val="ctr"/>
        <c:lblOffset val="100"/>
        <c:noMultiLvlLbl val="0"/>
      </c:catAx>
      <c:valAx>
        <c:axId val="13858232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baseline="0">
                <a:ln>
                  <a:noFill/>
                </a:ln>
                <a:solidFill>
                  <a:schemeClr val="tx2"/>
                </a:solidFill>
                <a:latin typeface="+mn-lt"/>
                <a:ea typeface="+mn-ea"/>
                <a:cs typeface="+mn-cs"/>
              </a:defRPr>
            </a:pPr>
            <a:endParaRPr lang="en-US"/>
          </a:p>
        </c:txPr>
        <c:crossAx val="138582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400" b="0" i="0" u="none" strike="noStrike" kern="1200" baseline="0">
              <a:ln>
                <a:noFill/>
              </a:ln>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2">
          <a:lumMod val="15000"/>
          <a:lumOff val="85000"/>
        </a:schemeClr>
      </a:solidFill>
      <a:round/>
    </a:ln>
    <a:effectLst/>
  </c:spPr>
  <c:txPr>
    <a:bodyPr/>
    <a:lstStyle/>
    <a:p>
      <a:pPr>
        <a:defRPr lang="en-US" sz="1400" b="0" i="0" u="none" strike="noStrike" kern="1200" baseline="0">
          <a:ln>
            <a:noFill/>
          </a:ln>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[Sales_Profit_Project.xlsx]Sales Rep Performance!PivotTable3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ln>
                    <a:no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ln>
                    <a:no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Rep Performance'!$B$5</c:f>
              <c:strCache>
                <c:ptCount val="1"/>
                <c:pt idx="0">
                  <c:v>Sum of Total_sales</c:v>
                </c:pt>
              </c:strCache>
            </c:strRef>
          </c:tx>
          <c:spPr>
            <a:solidFill>
              <a:schemeClr val="accent1"/>
            </a:solidFill>
            <a:ln>
              <a:noFill/>
            </a:ln>
            <a:effectLst/>
          </c:spPr>
          <c:invertIfNegative val="0"/>
          <c:cat>
            <c:strRef>
              <c:f>'Sales Rep Performance'!$A$6:$A$14</c:f>
              <c:strCache>
                <c:ptCount val="8"/>
                <c:pt idx="0">
                  <c:v>Amit</c:v>
                </c:pt>
                <c:pt idx="1">
                  <c:v>Arjun</c:v>
                </c:pt>
                <c:pt idx="2">
                  <c:v>Karan</c:v>
                </c:pt>
                <c:pt idx="3">
                  <c:v>Neha</c:v>
                </c:pt>
                <c:pt idx="4">
                  <c:v>Priya</c:v>
                </c:pt>
                <c:pt idx="5">
                  <c:v>Rahul</c:v>
                </c:pt>
                <c:pt idx="6">
                  <c:v>Sneha</c:v>
                </c:pt>
                <c:pt idx="7">
                  <c:v>Vikas</c:v>
                </c:pt>
              </c:strCache>
            </c:strRef>
          </c:cat>
          <c:val>
            <c:numRef>
              <c:f>'Sales Rep Performance'!$B$6:$B$14</c:f>
              <c:numCache>
                <c:formatCode>General</c:formatCode>
                <c:ptCount val="8"/>
                <c:pt idx="0">
                  <c:v>2891462</c:v>
                </c:pt>
                <c:pt idx="1">
                  <c:v>2961627</c:v>
                </c:pt>
                <c:pt idx="2">
                  <c:v>2414107</c:v>
                </c:pt>
                <c:pt idx="3">
                  <c:v>2803251</c:v>
                </c:pt>
                <c:pt idx="4">
                  <c:v>2622263</c:v>
                </c:pt>
                <c:pt idx="5">
                  <c:v>2444343</c:v>
                </c:pt>
                <c:pt idx="6">
                  <c:v>2536155</c:v>
                </c:pt>
                <c:pt idx="7">
                  <c:v>2681090</c:v>
                </c:pt>
              </c:numCache>
            </c:numRef>
          </c:val>
          <c:extLst>
            <c:ext xmlns:c16="http://schemas.microsoft.com/office/drawing/2014/chart" uri="{C3380CC4-5D6E-409C-BE32-E72D297353CC}">
              <c16:uniqueId val="{00000000-083F-4D60-91EF-338489AE03EE}"/>
            </c:ext>
          </c:extLst>
        </c:ser>
        <c:ser>
          <c:idx val="1"/>
          <c:order val="1"/>
          <c:tx>
            <c:strRef>
              <c:f>'Sales Rep Performance'!$C$5</c:f>
              <c:strCache>
                <c:ptCount val="1"/>
                <c:pt idx="0">
                  <c:v>Sum of Profit</c:v>
                </c:pt>
              </c:strCache>
            </c:strRef>
          </c:tx>
          <c:spPr>
            <a:solidFill>
              <a:schemeClr val="accent2"/>
            </a:solidFill>
            <a:ln>
              <a:noFill/>
            </a:ln>
            <a:effectLst/>
          </c:spPr>
          <c:invertIfNegative val="0"/>
          <c:cat>
            <c:strRef>
              <c:f>'Sales Rep Performance'!$A$6:$A$14</c:f>
              <c:strCache>
                <c:ptCount val="8"/>
                <c:pt idx="0">
                  <c:v>Amit</c:v>
                </c:pt>
                <c:pt idx="1">
                  <c:v>Arjun</c:v>
                </c:pt>
                <c:pt idx="2">
                  <c:v>Karan</c:v>
                </c:pt>
                <c:pt idx="3">
                  <c:v>Neha</c:v>
                </c:pt>
                <c:pt idx="4">
                  <c:v>Priya</c:v>
                </c:pt>
                <c:pt idx="5">
                  <c:v>Rahul</c:v>
                </c:pt>
                <c:pt idx="6">
                  <c:v>Sneha</c:v>
                </c:pt>
                <c:pt idx="7">
                  <c:v>Vikas</c:v>
                </c:pt>
              </c:strCache>
            </c:strRef>
          </c:cat>
          <c:val>
            <c:numRef>
              <c:f>'Sales Rep Performance'!$C$6:$C$14</c:f>
              <c:numCache>
                <c:formatCode>General</c:formatCode>
                <c:ptCount val="8"/>
                <c:pt idx="0">
                  <c:v>-2620038</c:v>
                </c:pt>
                <c:pt idx="1">
                  <c:v>-2771373</c:v>
                </c:pt>
                <c:pt idx="2">
                  <c:v>-3345893</c:v>
                </c:pt>
                <c:pt idx="3">
                  <c:v>-3251749</c:v>
                </c:pt>
                <c:pt idx="4">
                  <c:v>-4269237</c:v>
                </c:pt>
                <c:pt idx="5">
                  <c:v>-3474157</c:v>
                </c:pt>
                <c:pt idx="6">
                  <c:v>-4874845</c:v>
                </c:pt>
                <c:pt idx="7">
                  <c:v>-3962410</c:v>
                </c:pt>
              </c:numCache>
            </c:numRef>
          </c:val>
          <c:extLst>
            <c:ext xmlns:c16="http://schemas.microsoft.com/office/drawing/2014/chart" uri="{C3380CC4-5D6E-409C-BE32-E72D297353CC}">
              <c16:uniqueId val="{00000001-083F-4D60-91EF-338489AE03EE}"/>
            </c:ext>
          </c:extLst>
        </c:ser>
        <c:dLbls>
          <c:showLegendKey val="0"/>
          <c:showVal val="0"/>
          <c:showCatName val="0"/>
          <c:showSerName val="0"/>
          <c:showPercent val="0"/>
          <c:showBubbleSize val="0"/>
        </c:dLbls>
        <c:gapWidth val="150"/>
        <c:overlap val="100"/>
        <c:axId val="167080271"/>
        <c:axId val="167082191"/>
      </c:barChart>
      <c:catAx>
        <c:axId val="16708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0" i="0" u="none" strike="noStrike" kern="1200" baseline="0">
                <a:ln>
                  <a:noFill/>
                </a:ln>
                <a:solidFill>
                  <a:schemeClr val="tx2"/>
                </a:solidFill>
                <a:latin typeface="+mn-lt"/>
                <a:ea typeface="+mn-ea"/>
                <a:cs typeface="+mn-cs"/>
              </a:defRPr>
            </a:pPr>
            <a:endParaRPr lang="en-US"/>
          </a:p>
        </c:txPr>
        <c:crossAx val="167082191"/>
        <c:crosses val="autoZero"/>
        <c:auto val="1"/>
        <c:lblAlgn val="ctr"/>
        <c:lblOffset val="100"/>
        <c:noMultiLvlLbl val="0"/>
      </c:catAx>
      <c:valAx>
        <c:axId val="167082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600" b="0" i="0" u="none" strike="noStrike" kern="1200" baseline="0">
                <a:ln>
                  <a:noFill/>
                </a:ln>
                <a:solidFill>
                  <a:schemeClr val="tx2"/>
                </a:solidFill>
                <a:latin typeface="+mn-lt"/>
                <a:ea typeface="+mn-ea"/>
                <a:cs typeface="+mn-cs"/>
              </a:defRPr>
            </a:pPr>
            <a:endParaRPr lang="en-US"/>
          </a:p>
        </c:txPr>
        <c:crossAx val="167080271"/>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lang="en-US" sz="1600" b="0" i="0" u="none" strike="noStrike" kern="1200" baseline="0">
              <a:ln>
                <a:noFill/>
              </a:ln>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rgbClr val="00B0F0"/>
      </a:solidFill>
      <a:prstDash val="sysDot"/>
      <a:round/>
    </a:ln>
    <a:effectLst/>
  </c:spPr>
  <c:txPr>
    <a:bodyPr/>
    <a:lstStyle/>
    <a:p>
      <a:pPr>
        <a:defRPr lang="en-US" sz="1600" b="0" i="0" u="none" strike="noStrike" kern="1200" baseline="0">
          <a:ln>
            <a:noFill/>
          </a:ln>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548640</xdr:colOff>
      <xdr:row>1</xdr:row>
      <xdr:rowOff>1905</xdr:rowOff>
    </xdr:from>
    <xdr:to>
      <xdr:col>11</xdr:col>
      <xdr:colOff>243840</xdr:colOff>
      <xdr:row>11</xdr:row>
      <xdr:rowOff>78105</xdr:rowOff>
    </xdr:to>
    <xdr:graphicFrame macro="">
      <xdr:nvGraphicFramePr>
        <xdr:cNvPr id="2" name="Chart 1">
          <a:extLst>
            <a:ext uri="{FF2B5EF4-FFF2-40B4-BE49-F238E27FC236}">
              <a16:creationId xmlns:a16="http://schemas.microsoft.com/office/drawing/2014/main" id="{EC71753A-6ADB-3848-A00F-33F03F7351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180975</xdr:rowOff>
    </xdr:from>
    <xdr:to>
      <xdr:col>10</xdr:col>
      <xdr:colOff>304800</xdr:colOff>
      <xdr:row>13</xdr:row>
      <xdr:rowOff>169545</xdr:rowOff>
    </xdr:to>
    <xdr:graphicFrame macro="">
      <xdr:nvGraphicFramePr>
        <xdr:cNvPr id="2" name="Chart 1">
          <a:extLst>
            <a:ext uri="{FF2B5EF4-FFF2-40B4-BE49-F238E27FC236}">
              <a16:creationId xmlns:a16="http://schemas.microsoft.com/office/drawing/2014/main" id="{4451DA00-F0E3-BFF9-ECC7-7046DD367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590550</xdr:colOff>
      <xdr:row>2</xdr:row>
      <xdr:rowOff>176212</xdr:rowOff>
    </xdr:from>
    <xdr:to>
      <xdr:col>11</xdr:col>
      <xdr:colOff>285750</xdr:colOff>
      <xdr:row>13</xdr:row>
      <xdr:rowOff>147637</xdr:rowOff>
    </xdr:to>
    <xdr:graphicFrame macro="">
      <xdr:nvGraphicFramePr>
        <xdr:cNvPr id="3" name="Chart 2">
          <a:extLst>
            <a:ext uri="{FF2B5EF4-FFF2-40B4-BE49-F238E27FC236}">
              <a16:creationId xmlns:a16="http://schemas.microsoft.com/office/drawing/2014/main" id="{552E3C49-2F8A-044A-CCE4-51F20E549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584835</xdr:colOff>
      <xdr:row>1</xdr:row>
      <xdr:rowOff>0</xdr:rowOff>
    </xdr:from>
    <xdr:to>
      <xdr:col>15</xdr:col>
      <xdr:colOff>428625</xdr:colOff>
      <xdr:row>13</xdr:row>
      <xdr:rowOff>57150</xdr:rowOff>
    </xdr:to>
    <xdr:graphicFrame macro="">
      <xdr:nvGraphicFramePr>
        <xdr:cNvPr id="3" name="Chart 2">
          <a:extLst>
            <a:ext uri="{FF2B5EF4-FFF2-40B4-BE49-F238E27FC236}">
              <a16:creationId xmlns:a16="http://schemas.microsoft.com/office/drawing/2014/main" id="{8D08D8BB-0EA7-8920-3B94-36F60FA75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38100</xdr:colOff>
      <xdr:row>0</xdr:row>
      <xdr:rowOff>180975</xdr:rowOff>
    </xdr:from>
    <xdr:to>
      <xdr:col>6</xdr:col>
      <xdr:colOff>38100</xdr:colOff>
      <xdr:row>14</xdr:row>
      <xdr:rowOff>38100</xdr:rowOff>
    </xdr:to>
    <mc:AlternateContent xmlns:mc="http://schemas.openxmlformats.org/markup-compatibility/2006" xmlns:a14="http://schemas.microsoft.com/office/drawing/2010/main">
      <mc:Choice Requires="a14">
        <xdr:graphicFrame macro="">
          <xdr:nvGraphicFramePr>
            <xdr:cNvPr id="2" name="Order_Date">
              <a:extLst>
                <a:ext uri="{FF2B5EF4-FFF2-40B4-BE49-F238E27FC236}">
                  <a16:creationId xmlns:a16="http://schemas.microsoft.com/office/drawing/2014/main" id="{71CF246A-3D18-3D9E-8F1C-BD1F6A975795}"/>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2247900" y="180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371475</xdr:colOff>
      <xdr:row>0</xdr:row>
      <xdr:rowOff>171450</xdr:rowOff>
    </xdr:from>
    <xdr:to>
      <xdr:col>9</xdr:col>
      <xdr:colOff>371475</xdr:colOff>
      <xdr:row>14</xdr:row>
      <xdr:rowOff>28575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62FD8F6-0CED-D6E0-B1AA-0769CA971F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10075" y="171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19050</xdr:rowOff>
    </xdr:from>
    <xdr:to>
      <xdr:col>2</xdr:col>
      <xdr:colOff>228600</xdr:colOff>
      <xdr:row>14</xdr:row>
      <xdr:rowOff>66675</xdr:rowOff>
    </xdr:to>
    <mc:AlternateContent xmlns:mc="http://schemas.openxmlformats.org/markup-compatibility/2006" xmlns:a14="http://schemas.microsoft.com/office/drawing/2010/main">
      <mc:Choice Requires="a14">
        <xdr:graphicFrame macro="">
          <xdr:nvGraphicFramePr>
            <xdr:cNvPr id="4" name="Sales_Rep">
              <a:extLst>
                <a:ext uri="{FF2B5EF4-FFF2-40B4-BE49-F238E27FC236}">
                  <a16:creationId xmlns:a16="http://schemas.microsoft.com/office/drawing/2014/main" id="{352D722A-9657-D87A-413A-EE27F0A39A09}"/>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0" y="209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590550</xdr:colOff>
      <xdr:row>0</xdr:row>
      <xdr:rowOff>161925</xdr:rowOff>
    </xdr:from>
    <xdr:to>
      <xdr:col>12</xdr:col>
      <xdr:colOff>590550</xdr:colOff>
      <xdr:row>14</xdr:row>
      <xdr:rowOff>19050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5D283DD3-2701-2325-EAE6-2A0245E076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57950" y="161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136071</xdr:colOff>
      <xdr:row>11</xdr:row>
      <xdr:rowOff>155548</xdr:rowOff>
    </xdr:from>
    <xdr:to>
      <xdr:col>19</xdr:col>
      <xdr:colOff>236334</xdr:colOff>
      <xdr:row>24</xdr:row>
      <xdr:rowOff>114944</xdr:rowOff>
    </xdr:to>
    <xdr:graphicFrame macro="">
      <xdr:nvGraphicFramePr>
        <xdr:cNvPr id="2" name="Chart 1">
          <a:extLst>
            <a:ext uri="{FF2B5EF4-FFF2-40B4-BE49-F238E27FC236}">
              <a16:creationId xmlns:a16="http://schemas.microsoft.com/office/drawing/2014/main" id="{093616A2-6D98-48C2-8D8D-7648DC6F2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149678</xdr:colOff>
      <xdr:row>25</xdr:row>
      <xdr:rowOff>279805</xdr:rowOff>
    </xdr:from>
    <xdr:to>
      <xdr:col>9</xdr:col>
      <xdr:colOff>244929</xdr:colOff>
      <xdr:row>36</xdr:row>
      <xdr:rowOff>239197</xdr:rowOff>
    </xdr:to>
    <xdr:graphicFrame macro="">
      <xdr:nvGraphicFramePr>
        <xdr:cNvPr id="3" name="Chart 2">
          <a:extLst>
            <a:ext uri="{FF2B5EF4-FFF2-40B4-BE49-F238E27FC236}">
              <a16:creationId xmlns:a16="http://schemas.microsoft.com/office/drawing/2014/main" id="{C41C76FD-71D1-4D44-8A3F-7401B34D9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37600</xdr:colOff>
      <xdr:row>25</xdr:row>
      <xdr:rowOff>233112</xdr:rowOff>
    </xdr:from>
    <xdr:to>
      <xdr:col>19</xdr:col>
      <xdr:colOff>92746</xdr:colOff>
      <xdr:row>36</xdr:row>
      <xdr:rowOff>193006</xdr:rowOff>
    </xdr:to>
    <xdr:graphicFrame macro="">
      <xdr:nvGraphicFramePr>
        <xdr:cNvPr id="4" name="Chart 3">
          <a:extLst>
            <a:ext uri="{FF2B5EF4-FFF2-40B4-BE49-F238E27FC236}">
              <a16:creationId xmlns:a16="http://schemas.microsoft.com/office/drawing/2014/main" id="{3C52DE97-A852-4372-A50B-2036B2791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272143</xdr:colOff>
      <xdr:row>38</xdr:row>
      <xdr:rowOff>90736</xdr:rowOff>
    </xdr:from>
    <xdr:to>
      <xdr:col>18</xdr:col>
      <xdr:colOff>44401</xdr:colOff>
      <xdr:row>53</xdr:row>
      <xdr:rowOff>175458</xdr:rowOff>
    </xdr:to>
    <xdr:graphicFrame macro="">
      <xdr:nvGraphicFramePr>
        <xdr:cNvPr id="6" name="Chart 5">
          <a:extLst>
            <a:ext uri="{FF2B5EF4-FFF2-40B4-BE49-F238E27FC236}">
              <a16:creationId xmlns:a16="http://schemas.microsoft.com/office/drawing/2014/main" id="{5660A8DF-108B-4EDA-8496-7835825D8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92529</xdr:colOff>
      <xdr:row>54</xdr:row>
      <xdr:rowOff>285749</xdr:rowOff>
    </xdr:from>
    <xdr:to>
      <xdr:col>4</xdr:col>
      <xdr:colOff>489857</xdr:colOff>
      <xdr:row>63</xdr:row>
      <xdr:rowOff>115660</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3D0A1EF0-3FEC-4D16-BA85-B4B7D9D2E7D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22565" y="15226392"/>
              <a:ext cx="2901042"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367390</xdr:colOff>
      <xdr:row>54</xdr:row>
      <xdr:rowOff>278947</xdr:rowOff>
    </xdr:from>
    <xdr:to>
      <xdr:col>8</xdr:col>
      <xdr:colOff>544283</xdr:colOff>
      <xdr:row>63</xdr:row>
      <xdr:rowOff>136071</xdr:rowOff>
    </xdr:to>
    <mc:AlternateContent xmlns:mc="http://schemas.openxmlformats.org/markup-compatibility/2006">
      <mc:Choice xmlns:a14="http://schemas.microsoft.com/office/drawing/2010/main" Requires="a14">
        <xdr:graphicFrame macro="">
          <xdr:nvGraphicFramePr>
            <xdr:cNvPr id="8" name="Sales_Rep 1">
              <a:extLst>
                <a:ext uri="{FF2B5EF4-FFF2-40B4-BE49-F238E27FC236}">
                  <a16:creationId xmlns:a16="http://schemas.microsoft.com/office/drawing/2014/main" id="{A2A4AC40-8F5A-43A9-85EC-D6CF79976FD4}"/>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dr:sp macro="" textlink="">
          <xdr:nvSpPr>
            <xdr:cNvPr id="0" name=""/>
            <xdr:cNvSpPr>
              <a:spLocks noTextEdit="1"/>
            </xdr:cNvSpPr>
          </xdr:nvSpPr>
          <xdr:spPr>
            <a:xfrm>
              <a:off x="4354283" y="15219590"/>
              <a:ext cx="3116036" cy="2551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148318</xdr:colOff>
      <xdr:row>54</xdr:row>
      <xdr:rowOff>296636</xdr:rowOff>
    </xdr:from>
    <xdr:to>
      <xdr:col>12</xdr:col>
      <xdr:colOff>340179</xdr:colOff>
      <xdr:row>63</xdr:row>
      <xdr:rowOff>126547</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95776E3E-B23E-4B4D-8612-D0705D12CFD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054068" y="15237279"/>
              <a:ext cx="2804432"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816429</xdr:colOff>
      <xdr:row>54</xdr:row>
      <xdr:rowOff>272143</xdr:rowOff>
    </xdr:from>
    <xdr:to>
      <xdr:col>16</xdr:col>
      <xdr:colOff>54429</xdr:colOff>
      <xdr:row>63</xdr:row>
      <xdr:rowOff>102054</xdr:rowOff>
    </xdr:to>
    <mc:AlternateContent xmlns:mc="http://schemas.openxmlformats.org/markup-compatibility/2006">
      <mc:Choice xmlns:a14="http://schemas.microsoft.com/office/drawing/2010/main" Requires="a14">
        <xdr:graphicFrame macro="">
          <xdr:nvGraphicFramePr>
            <xdr:cNvPr id="14" name="Order_Date 1">
              <a:extLst>
                <a:ext uri="{FF2B5EF4-FFF2-40B4-BE49-F238E27FC236}">
                  <a16:creationId xmlns:a16="http://schemas.microsoft.com/office/drawing/2014/main" id="{723D7EFB-738F-4895-99F4-4672D4E6F933}"/>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dr:sp macro="" textlink="">
          <xdr:nvSpPr>
            <xdr:cNvPr id="0" name=""/>
            <xdr:cNvSpPr>
              <a:spLocks noTextEdit="1"/>
            </xdr:cNvSpPr>
          </xdr:nvSpPr>
          <xdr:spPr>
            <a:xfrm>
              <a:off x="11334750" y="15212786"/>
              <a:ext cx="283028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refreshedDate="46065.850942476849" createdVersion="8" refreshedVersion="8" minRefreshableVersion="3" recordCount="650" xr:uid="{FF1499D1-A4C6-45DB-85C9-A7419F635301}">
  <cacheSource type="worksheet">
    <worksheetSource name="pivot_tab"/>
  </cacheSource>
  <cacheFields count="15">
    <cacheField name="Order_ID" numFmtId="0">
      <sharedItems/>
    </cacheField>
    <cacheField name="Order_Date" numFmtId="0">
      <sharedItems count="298">
        <s v="2025-03-08"/>
        <s v="2025-12-08"/>
        <s v="2025-02-20"/>
        <s v="2025-02-07"/>
        <s v="2025-12-04"/>
        <s v="2025-10-25"/>
        <s v="2025-06-03"/>
        <s v="2025-01-02"/>
        <s v="2025-08-21"/>
        <s v="2025-12-12"/>
        <s v="2025-03-24"/>
        <s v="2025-02-19"/>
        <s v="2025-08-31"/>
        <s v="2025-01-23"/>
        <s v="2025-10-01"/>
        <s v="2025-08-13"/>
        <s v="2025-09-05"/>
        <s v="2025-11-23"/>
        <s v="2025-07-01"/>
        <s v="2025-10-30"/>
        <s v="2025-11-27"/>
        <s v="2025-07-23"/>
        <s v="2025-04-27"/>
        <s v="2025-08-16"/>
        <s v="2025-09-24"/>
        <s v="2025-05-10"/>
        <s v="2025-05-29"/>
        <s v="2025-11-24"/>
        <s v="2025-08-20"/>
        <s v="2025-12-13"/>
        <s v="2025-01-16"/>
        <s v="2025-01-29"/>
        <s v="2025-12-26"/>
        <s v="2025-07-20"/>
        <s v="2025-03-03"/>
        <s v="2025-01-21"/>
        <s v="2025-10-28"/>
        <s v="2025-08-04"/>
        <s v="2025-06-11"/>
        <s v="2025-06-02"/>
        <s v="2025-07-11"/>
        <s v="2025-12-24"/>
        <s v="2025-10-19"/>
        <s v="2025-09-03"/>
        <s v="2025-10-08"/>
        <s v="2025-01-04"/>
        <s v="2025-08-19"/>
        <s v="2025-04-21"/>
        <s v="2025-01-22"/>
        <s v="2025-10-10"/>
        <s v="2025-06-30"/>
        <s v="2025-06-22"/>
        <s v="2025-12-19"/>
        <s v="2025-04-18"/>
        <s v="2025-05-04"/>
        <s v="2025-07-19"/>
        <s v="2025-05-21"/>
        <s v="2025-02-13"/>
        <s v="2025-09-02"/>
        <s v="2025-05-03"/>
        <s v="2025-04-13"/>
        <s v="2025-03-12"/>
        <s v="2025-07-12"/>
        <s v="2025-06-28"/>
        <s v="2025-06-16"/>
        <s v="2025-01-09"/>
        <s v="2025-11-06"/>
        <s v="2025-02-15"/>
        <s v="2025-01-14"/>
        <s v="2025-01-26"/>
        <s v="2025-02-05"/>
        <s v="2025-02-24"/>
        <s v="2025-07-07"/>
        <s v="2025-06-05"/>
        <s v="2025-10-27"/>
        <s v="2025-03-13"/>
        <s v="2025-11-13"/>
        <s v="2025-11-28"/>
        <s v="2025-03-11"/>
        <s v="2025-02-09"/>
        <s v="2025-08-25"/>
        <s v="2025-08-24"/>
        <s v="2025-03-05"/>
        <s v="2025-10-09"/>
        <s v="2025-05-26"/>
        <s v="2025-04-15"/>
        <s v="2025-06-01"/>
        <s v="2025-09-19"/>
        <s v="2025-08-30"/>
        <s v="2025-02-26"/>
        <s v="2025-02-14"/>
        <s v="2025-09-26"/>
        <s v="2025-12-02"/>
        <s v="2025-07-25"/>
        <s v="2025-08-06"/>
        <s v="2025-09-15"/>
        <s v="2025-09-27"/>
        <s v="2025-04-16"/>
        <s v="2025-10-05"/>
        <s v="2025-06-27"/>
        <s v="2025-08-15"/>
        <s v="2025-10-21"/>
        <s v="2025-09-30"/>
        <s v="2025-08-10"/>
        <s v="2025-09-13"/>
        <s v="2025-01-19"/>
        <s v="2025-12-28"/>
        <s v="2025-03-18"/>
        <s v="2025-09-08"/>
        <s v="2025-09-09"/>
        <s v="2025-05-01"/>
        <s v="2025-08-17"/>
        <s v="2025-02-04"/>
        <s v="2025-07-27"/>
        <s v="2025-02-21"/>
        <s v="2025-03-25"/>
        <s v="2025-05-23"/>
        <s v="2025-11-14"/>
        <s v="2025-11-07"/>
        <s v="2025-05-30"/>
        <s v="2025-10-13"/>
        <s v="2025-06-08"/>
        <s v="2025-08-23"/>
        <s v="2025-01-05"/>
        <s v="2025-07-29"/>
        <s v="2025-04-20"/>
        <s v="2025-12-17"/>
        <s v="2025-09-10"/>
        <s v="2025-04-22"/>
        <s v="2025-01-06"/>
        <s v="2025-05-02"/>
        <s v="2025-05-27"/>
        <s v="2025-11-05"/>
        <s v="2025-03-19"/>
        <s v="2025-10-26"/>
        <s v="2025-01-30"/>
        <s v="2025-09-23"/>
        <s v="2025-01-18"/>
        <s v="2025-08-05"/>
        <s v="2025-12-05"/>
        <s v="2025-04-17"/>
        <s v="2025-09-29"/>
        <s v="2025-12-18"/>
        <s v="2025-03-04"/>
        <s v="2025-04-30"/>
        <s v="2025-07-15"/>
        <s v="2025-03-29"/>
        <s v="2025-10-29"/>
        <s v="2025-10-22"/>
        <s v="2025-04-25"/>
        <s v="2025-07-06"/>
        <s v="2025-05-16"/>
        <s v="2025-09-06"/>
        <s v="2025-08-11"/>
        <s v="2025-10-18"/>
        <s v="2025-08-28"/>
        <s v="2025-09-28"/>
        <s v="2025-09-01"/>
        <s v="2025-01-03"/>
        <s v="2025-11-08"/>
        <s v="2025-02-16"/>
        <s v="2025-01-12"/>
        <s v="2025-04-03"/>
        <s v="2025-08-02"/>
        <s v="2025-06-10"/>
        <s v="2025-02-10"/>
        <s v="2025-01-20"/>
        <s v="2025-10-03"/>
        <s v="2025-06-23"/>
        <s v="2025-07-08"/>
        <s v="2025-02-17"/>
        <s v="2025-12-11"/>
        <s v="2025-07-24"/>
        <s v="2025-12-29"/>
        <s v="2025-08-07"/>
        <s v="2025-11-12"/>
        <s v="2025-04-29"/>
        <s v="2025-11-19"/>
        <s v="2025-08-29"/>
        <s v="2025-05-08"/>
        <s v="2025-06-04"/>
        <s v="2025-07-30"/>
        <s v="2025-02-02"/>
        <s v="2025-12-03"/>
        <s v="2025-01-15"/>
        <s v="2025-01-31"/>
        <s v="2025-06-21"/>
        <s v="2025-12-15"/>
        <s v="2025-02-11"/>
        <s v="2025-01-10"/>
        <s v="2025-08-01"/>
        <s v="2025-04-04"/>
        <s v="2025-07-26"/>
        <s v="2025-01-07"/>
        <s v="2025-03-17"/>
        <s v="2025-07-13"/>
        <s v="2025-02-08"/>
        <s v="2025-04-05"/>
        <s v="2025-08-03"/>
        <s v="2025-05-20"/>
        <s v="2025-09-07"/>
        <s v="2025-10-04"/>
        <s v="2025-09-14"/>
        <s v="2025-07-17"/>
        <s v="2025-10-20"/>
        <s v="2025-11-11"/>
        <s v="2025-04-19"/>
        <s v="2025-11-17"/>
        <s v="2025-05-11"/>
        <s v="2025-10-31"/>
        <s v="2025-01-13"/>
        <s v="2025-06-26"/>
        <s v="2025-05-17"/>
        <s v="2025-06-07"/>
        <s v="2025-07-16"/>
        <s v="2025-03-30"/>
        <s v="2025-04-28"/>
        <s v="2025-12-01"/>
        <s v="2025-03-31"/>
        <s v="2025-11-01"/>
        <s v="2025-04-10"/>
        <s v="2025-10-24"/>
        <s v="2025-11-21"/>
        <s v="2025-01-08"/>
        <s v="2025-07-04"/>
        <s v="2025-03-01"/>
        <s v="2025-05-18"/>
        <s v="2025-10-02"/>
        <s v="2025-01-27"/>
        <s v="2025-10-17"/>
        <s v="2025-07-02"/>
        <s v="2025-07-10"/>
        <s v="2025-10-16"/>
        <s v="2025-12-31"/>
        <s v="2025-05-09"/>
        <s v="2025-04-01"/>
        <s v="2025-11-15"/>
        <s v="2025-04-06"/>
        <s v="2025-01-01"/>
        <s v="2025-03-16"/>
        <s v="2025-06-25"/>
        <s v="2025-04-02"/>
        <s v="2025-10-23"/>
        <s v="2025-06-12"/>
        <s v="2025-05-31"/>
        <s v="2025-11-03"/>
        <s v="2025-05-06"/>
        <s v="2025-05-25"/>
        <s v="2025-12-09"/>
        <s v="2025-09-18"/>
        <s v="2025-08-14"/>
        <s v="2025-11-25"/>
        <s v="2025-03-02"/>
        <s v="2025-07-31"/>
        <s v="2025-12-20"/>
        <s v="2025-06-17"/>
        <s v="2025-01-11"/>
        <s v="2025-07-14"/>
        <s v="2025-07-28"/>
        <s v="2025-10-12"/>
        <s v="2025-05-22"/>
        <s v="2025-07-21"/>
        <s v="2025-01-24"/>
        <s v="2025-03-15"/>
        <s v="2025-08-08"/>
        <s v="2025-01-25"/>
        <s v="2025-10-14"/>
        <s v="2025-01-28"/>
        <s v="2025-06-06"/>
        <s v="2025-12-27"/>
        <s v="2025-08-12"/>
        <s v="2025-06-15"/>
        <s v="2025-11-10"/>
        <s v="2025-03-22"/>
        <s v="2025-11-09"/>
        <s v="2025-02-25"/>
        <s v="2025-03-28"/>
        <s v="2025-12-16"/>
        <s v="2025-06-13"/>
        <s v="2025-11-02"/>
        <s v="2025-04-24"/>
        <s v="2025-05-15"/>
        <s v="2025-12-06"/>
        <s v="2025-11-18"/>
        <s v="2025-05-14"/>
        <s v="2025-05-13"/>
        <s v="2025-03-14"/>
        <s v="2025-11-04"/>
        <s v="2025-10-15"/>
        <s v="2025-08-18"/>
        <s v="2025-07-18"/>
        <s v="2025-12-25"/>
        <s v="2025-02-01"/>
        <s v="2025-11-26"/>
        <s v="2025-12-23"/>
        <s v="2025-02-03"/>
        <s v="2025-10-11"/>
        <s v="2025-09-11"/>
      </sharedItems>
    </cacheField>
    <cacheField name="Region" numFmtId="0">
      <sharedItems count="4">
        <s v="West"/>
        <s v="South"/>
        <s v="East"/>
        <s v="North"/>
      </sharedItems>
    </cacheField>
    <cacheField name="Sales_Rep" numFmtId="0">
      <sharedItems count="8">
        <s v="Arjun"/>
        <s v="Vikas"/>
        <s v="Priya"/>
        <s v="Sneha"/>
        <s v="Rahul"/>
        <s v="Amit"/>
        <s v="Karan"/>
        <s v="Neha"/>
      </sharedItems>
    </cacheField>
    <cacheField name="Product_ID" numFmtId="0">
      <sharedItems/>
    </cacheField>
    <cacheField name="Quantity" numFmtId="0">
      <sharedItems containsSemiMixedTypes="0" containsString="0" containsNumber="1" containsInteger="1" minValue="1" maxValue="15"/>
    </cacheField>
    <cacheField name="Unit_Price" numFmtId="0">
      <sharedItems containsSemiMixedTypes="0" containsString="0" containsNumber="1" containsInteger="1" minValue="533" maxValue="7997"/>
    </cacheField>
    <cacheField name="Product_Name " numFmtId="0">
      <sharedItems/>
    </cacheField>
    <cacheField name="Category" numFmtId="0">
      <sharedItems count="3">
        <s v="Electronics"/>
        <s v="Furniture"/>
        <s v="Clothing"/>
      </sharedItems>
    </cacheField>
    <cacheField name="Cost_Price" numFmtId="0">
      <sharedItems containsSemiMixedTypes="0" containsString="0" containsNumber="1" containsInteger="1" minValue="1500" maxValue="35000"/>
    </cacheField>
    <cacheField name="Total_sales" numFmtId="0">
      <sharedItems containsSemiMixedTypes="0" containsString="0" containsNumber="1" containsInteger="1" minValue="626" maxValue="112365"/>
    </cacheField>
    <cacheField name="Total_Cost" numFmtId="0">
      <sharedItems containsSemiMixedTypes="0" containsString="0" containsNumber="1" containsInteger="1" minValue="1500" maxValue="525000"/>
    </cacheField>
    <cacheField name="Profit" numFmtId="0">
      <sharedItems containsSemiMixedTypes="0" containsString="0" containsNumber="1" containsInteger="1" minValue="-493935" maxValue="87178"/>
    </cacheField>
    <cacheField name="Target_sales" numFmtId="0">
      <sharedItems containsSemiMixedTypes="0" containsString="0" containsNumber="1" containsInteger="1" minValue="800000" maxValue="950000"/>
    </cacheField>
    <cacheField name="Achievement_%" numFmtId="164">
      <sharedItems containsSemiMixedTypes="0" containsString="0" containsNumber="1" minValue="7.8249999999999999E-4" maxValue="0.12768750000000001"/>
    </cacheField>
  </cacheFields>
  <extLst>
    <ext xmlns:x14="http://schemas.microsoft.com/office/spreadsheetml/2009/9/main" uri="{725AE2AE-9491-48be-B2B4-4EB974FC3084}">
      <x14:pivotCacheDefinition pivotCacheId="1081164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
  <r>
    <s v="O0001"/>
    <x v="0"/>
    <x v="0"/>
    <x v="0"/>
    <s v="P102"/>
    <n v="5"/>
    <n v="2034"/>
    <s v="Mobile"/>
    <x v="0"/>
    <n v="18000"/>
    <n v="10170"/>
    <n v="90000"/>
    <n v="-79830"/>
    <n v="920000"/>
    <n v="1.1054347826086957E-2"/>
  </r>
  <r>
    <s v="O0002"/>
    <x v="1"/>
    <x v="0"/>
    <x v="1"/>
    <s v="P104"/>
    <n v="1"/>
    <n v="2220"/>
    <s v="Chair"/>
    <x v="1"/>
    <n v="2500"/>
    <n v="2220"/>
    <n v="2500"/>
    <n v="-280"/>
    <n v="880000"/>
    <n v="2.5227272727272728E-3"/>
  </r>
  <r>
    <s v="O0003"/>
    <x v="2"/>
    <x v="1"/>
    <x v="2"/>
    <s v="P103"/>
    <n v="13"/>
    <n v="1172"/>
    <s v="Headphones"/>
    <x v="0"/>
    <n v="2000"/>
    <n v="15236"/>
    <n v="26000"/>
    <n v="-10764"/>
    <n v="950000"/>
    <n v="1.6037894736842105E-2"/>
  </r>
  <r>
    <s v="O0004"/>
    <x v="3"/>
    <x v="1"/>
    <x v="2"/>
    <s v="P106"/>
    <n v="5"/>
    <n v="902"/>
    <s v="Sofa"/>
    <x v="1"/>
    <n v="15000"/>
    <n v="4510"/>
    <n v="75000"/>
    <n v="-70490"/>
    <n v="950000"/>
    <n v="4.7473684210526312E-3"/>
  </r>
  <r>
    <s v="O0005"/>
    <x v="4"/>
    <x v="2"/>
    <x v="3"/>
    <s v="P101"/>
    <n v="9"/>
    <n v="4018"/>
    <s v="Laptop"/>
    <x v="0"/>
    <n v="35000"/>
    <n v="36162"/>
    <n v="315000"/>
    <n v="-278838"/>
    <n v="800000"/>
    <n v="4.52025E-2"/>
  </r>
  <r>
    <s v="O0006"/>
    <x v="5"/>
    <x v="0"/>
    <x v="1"/>
    <s v="P104"/>
    <n v="5"/>
    <n v="6915"/>
    <s v="Chair"/>
    <x v="1"/>
    <n v="2500"/>
    <n v="34575"/>
    <n v="12500"/>
    <n v="22075"/>
    <n v="880000"/>
    <n v="3.9289772727272729E-2"/>
  </r>
  <r>
    <s v="O0007"/>
    <x v="6"/>
    <x v="3"/>
    <x v="1"/>
    <s v="P107"/>
    <n v="1"/>
    <n v="1591"/>
    <s v="Jacket"/>
    <x v="2"/>
    <n v="1500"/>
    <n v="1591"/>
    <n v="1500"/>
    <n v="91"/>
    <n v="880000"/>
    <n v="1.8079545454545455E-3"/>
  </r>
  <r>
    <s v="O0008"/>
    <x v="7"/>
    <x v="0"/>
    <x v="4"/>
    <s v="P102"/>
    <n v="3"/>
    <n v="2844"/>
    <s v="Mobile"/>
    <x v="0"/>
    <n v="18000"/>
    <n v="8532"/>
    <n v="54000"/>
    <n v="-45468"/>
    <n v="850000"/>
    <n v="1.003764705882353E-2"/>
  </r>
  <r>
    <s v="O0009"/>
    <x v="8"/>
    <x v="1"/>
    <x v="2"/>
    <s v="P105"/>
    <n v="9"/>
    <n v="6821"/>
    <s v="Table"/>
    <x v="1"/>
    <n v="7000"/>
    <n v="61389"/>
    <n v="63000"/>
    <n v="-1611"/>
    <n v="950000"/>
    <n v="6.4619999999999997E-2"/>
  </r>
  <r>
    <s v="O0010"/>
    <x v="9"/>
    <x v="2"/>
    <x v="1"/>
    <s v="P101"/>
    <n v="14"/>
    <n v="603"/>
    <s v="Laptop"/>
    <x v="0"/>
    <n v="35000"/>
    <n v="8442"/>
    <n v="490000"/>
    <n v="-481558"/>
    <n v="880000"/>
    <n v="9.5931818181818184E-3"/>
  </r>
  <r>
    <s v="O0011"/>
    <x v="10"/>
    <x v="1"/>
    <x v="0"/>
    <s v="P106"/>
    <n v="2"/>
    <n v="3879"/>
    <s v="Sofa"/>
    <x v="1"/>
    <n v="15000"/>
    <n v="7758"/>
    <n v="30000"/>
    <n v="-22242"/>
    <n v="920000"/>
    <n v="8.4326086956521742E-3"/>
  </r>
  <r>
    <s v="O0012"/>
    <x v="11"/>
    <x v="2"/>
    <x v="0"/>
    <s v="P106"/>
    <n v="1"/>
    <n v="7391"/>
    <s v="Sofa"/>
    <x v="1"/>
    <n v="15000"/>
    <n v="7391"/>
    <n v="15000"/>
    <n v="-7609"/>
    <n v="920000"/>
    <n v="8.0336956521739125E-3"/>
  </r>
  <r>
    <s v="O0013"/>
    <x v="12"/>
    <x v="3"/>
    <x v="0"/>
    <s v="P106"/>
    <n v="3"/>
    <n v="4255"/>
    <s v="Sofa"/>
    <x v="1"/>
    <n v="15000"/>
    <n v="12765"/>
    <n v="45000"/>
    <n v="-32235"/>
    <n v="920000"/>
    <n v="1.3875E-2"/>
  </r>
  <r>
    <s v="O0014"/>
    <x v="13"/>
    <x v="0"/>
    <x v="5"/>
    <s v="P107"/>
    <n v="3"/>
    <n v="1751"/>
    <s v="Jacket"/>
    <x v="2"/>
    <n v="1500"/>
    <n v="5253"/>
    <n v="4500"/>
    <n v="753"/>
    <n v="900000"/>
    <n v="5.8366666666666671E-3"/>
  </r>
  <r>
    <s v="O0015"/>
    <x v="14"/>
    <x v="3"/>
    <x v="6"/>
    <s v="P104"/>
    <n v="13"/>
    <n v="1420"/>
    <s v="Chair"/>
    <x v="1"/>
    <n v="2500"/>
    <n v="18460"/>
    <n v="32500"/>
    <n v="-14040"/>
    <n v="890000"/>
    <n v="2.0741573033707866E-2"/>
  </r>
  <r>
    <s v="O0016"/>
    <x v="15"/>
    <x v="0"/>
    <x v="6"/>
    <s v="P104"/>
    <n v="5"/>
    <n v="5006"/>
    <s v="Chair"/>
    <x v="1"/>
    <n v="2500"/>
    <n v="25030"/>
    <n v="12500"/>
    <n v="12530"/>
    <n v="890000"/>
    <n v="2.8123595505617976E-2"/>
  </r>
  <r>
    <s v="O0017"/>
    <x v="16"/>
    <x v="3"/>
    <x v="2"/>
    <s v="P107"/>
    <n v="3"/>
    <n v="5214"/>
    <s v="Jacket"/>
    <x v="2"/>
    <n v="1500"/>
    <n v="15642"/>
    <n v="4500"/>
    <n v="11142"/>
    <n v="950000"/>
    <n v="1.6465263157894736E-2"/>
  </r>
  <r>
    <s v="O0018"/>
    <x v="17"/>
    <x v="1"/>
    <x v="1"/>
    <s v="P108"/>
    <n v="8"/>
    <n v="6044"/>
    <s v="Shoes"/>
    <x v="2"/>
    <n v="2000"/>
    <n v="48352"/>
    <n v="16000"/>
    <n v="32352"/>
    <n v="880000"/>
    <n v="5.4945454545454547E-2"/>
  </r>
  <r>
    <s v="O0019"/>
    <x v="18"/>
    <x v="3"/>
    <x v="6"/>
    <s v="P108"/>
    <n v="14"/>
    <n v="2253"/>
    <s v="Shoes"/>
    <x v="2"/>
    <n v="2000"/>
    <n v="31542"/>
    <n v="28000"/>
    <n v="3542"/>
    <n v="890000"/>
    <n v="3.5440449438202244E-2"/>
  </r>
  <r>
    <s v="O0020"/>
    <x v="19"/>
    <x v="0"/>
    <x v="5"/>
    <s v="P105"/>
    <n v="11"/>
    <n v="7119"/>
    <s v="Table"/>
    <x v="1"/>
    <n v="7000"/>
    <n v="78309"/>
    <n v="77000"/>
    <n v="1309"/>
    <n v="900000"/>
    <n v="8.7010000000000004E-2"/>
  </r>
  <r>
    <s v="O0021"/>
    <x v="20"/>
    <x v="3"/>
    <x v="2"/>
    <s v="P103"/>
    <n v="3"/>
    <n v="7445"/>
    <s v="Headphones"/>
    <x v="0"/>
    <n v="2000"/>
    <n v="22335"/>
    <n v="6000"/>
    <n v="16335"/>
    <n v="950000"/>
    <n v="2.3510526315789475E-2"/>
  </r>
  <r>
    <s v="O0022"/>
    <x v="21"/>
    <x v="1"/>
    <x v="3"/>
    <s v="P104"/>
    <n v="15"/>
    <n v="3342"/>
    <s v="Chair"/>
    <x v="1"/>
    <n v="2500"/>
    <n v="50130"/>
    <n v="37500"/>
    <n v="12630"/>
    <n v="800000"/>
    <n v="6.2662499999999996E-2"/>
  </r>
  <r>
    <s v="O0023"/>
    <x v="22"/>
    <x v="3"/>
    <x v="0"/>
    <s v="P105"/>
    <n v="4"/>
    <n v="5943"/>
    <s v="Table"/>
    <x v="1"/>
    <n v="7000"/>
    <n v="23772"/>
    <n v="28000"/>
    <n v="-4228"/>
    <n v="920000"/>
    <n v="2.5839130434782608E-2"/>
  </r>
  <r>
    <s v="O0024"/>
    <x v="23"/>
    <x v="2"/>
    <x v="3"/>
    <s v="P104"/>
    <n v="15"/>
    <n v="5485"/>
    <s v="Chair"/>
    <x v="1"/>
    <n v="2500"/>
    <n v="82275"/>
    <n v="37500"/>
    <n v="44775"/>
    <n v="800000"/>
    <n v="0.10284375"/>
  </r>
  <r>
    <s v="O0025"/>
    <x v="24"/>
    <x v="2"/>
    <x v="0"/>
    <s v="P102"/>
    <n v="12"/>
    <n v="4451"/>
    <s v="Mobile"/>
    <x v="0"/>
    <n v="18000"/>
    <n v="53412"/>
    <n v="216000"/>
    <n v="-162588"/>
    <n v="920000"/>
    <n v="5.8056521739130437E-2"/>
  </r>
  <r>
    <s v="O0026"/>
    <x v="25"/>
    <x v="3"/>
    <x v="2"/>
    <s v="P107"/>
    <n v="3"/>
    <n v="7957"/>
    <s v="Jacket"/>
    <x v="2"/>
    <n v="1500"/>
    <n v="23871"/>
    <n v="4500"/>
    <n v="19371"/>
    <n v="950000"/>
    <n v="2.5127368421052631E-2"/>
  </r>
  <r>
    <s v="O0027"/>
    <x v="26"/>
    <x v="0"/>
    <x v="1"/>
    <s v="P106"/>
    <n v="10"/>
    <n v="2076"/>
    <s v="Sofa"/>
    <x v="1"/>
    <n v="15000"/>
    <n v="20760"/>
    <n v="150000"/>
    <n v="-129240"/>
    <n v="880000"/>
    <n v="2.3590909090909089E-2"/>
  </r>
  <r>
    <s v="O0028"/>
    <x v="27"/>
    <x v="3"/>
    <x v="1"/>
    <s v="P106"/>
    <n v="13"/>
    <n v="1228"/>
    <s v="Sofa"/>
    <x v="1"/>
    <n v="15000"/>
    <n v="15964"/>
    <n v="195000"/>
    <n v="-179036"/>
    <n v="880000"/>
    <n v="1.8140909090909089E-2"/>
  </r>
  <r>
    <s v="O0029"/>
    <x v="28"/>
    <x v="3"/>
    <x v="4"/>
    <s v="P108"/>
    <n v="3"/>
    <n v="2623"/>
    <s v="Shoes"/>
    <x v="2"/>
    <n v="2000"/>
    <n v="7869"/>
    <n v="6000"/>
    <n v="1869"/>
    <n v="850000"/>
    <n v="9.2576470588235302E-3"/>
  </r>
  <r>
    <s v="O0030"/>
    <x v="29"/>
    <x v="3"/>
    <x v="1"/>
    <s v="P106"/>
    <n v="10"/>
    <n v="1090"/>
    <s v="Sofa"/>
    <x v="1"/>
    <n v="15000"/>
    <n v="10900"/>
    <n v="150000"/>
    <n v="-139100"/>
    <n v="880000"/>
    <n v="1.2386363636363636E-2"/>
  </r>
  <r>
    <s v="O0031"/>
    <x v="30"/>
    <x v="0"/>
    <x v="2"/>
    <s v="P102"/>
    <n v="15"/>
    <n v="5568"/>
    <s v="Mobile"/>
    <x v="0"/>
    <n v="18000"/>
    <n v="83520"/>
    <n v="270000"/>
    <n v="-186480"/>
    <n v="950000"/>
    <n v="8.7915789473684211E-2"/>
  </r>
  <r>
    <s v="O0032"/>
    <x v="31"/>
    <x v="2"/>
    <x v="5"/>
    <s v="P101"/>
    <n v="12"/>
    <n v="7753"/>
    <s v="Laptop"/>
    <x v="0"/>
    <n v="35000"/>
    <n v="93036"/>
    <n v="420000"/>
    <n v="-326964"/>
    <n v="900000"/>
    <n v="0.10337333333333333"/>
  </r>
  <r>
    <s v="O0033"/>
    <x v="32"/>
    <x v="3"/>
    <x v="3"/>
    <s v="P102"/>
    <n v="8"/>
    <n v="998"/>
    <s v="Mobile"/>
    <x v="0"/>
    <n v="18000"/>
    <n v="7984"/>
    <n v="144000"/>
    <n v="-136016"/>
    <n v="800000"/>
    <n v="9.9799999999999993E-3"/>
  </r>
  <r>
    <s v="O0034"/>
    <x v="33"/>
    <x v="3"/>
    <x v="0"/>
    <s v="P105"/>
    <n v="6"/>
    <n v="6946"/>
    <s v="Table"/>
    <x v="1"/>
    <n v="7000"/>
    <n v="41676"/>
    <n v="42000"/>
    <n v="-324"/>
    <n v="920000"/>
    <n v="4.53E-2"/>
  </r>
  <r>
    <s v="O0035"/>
    <x v="11"/>
    <x v="3"/>
    <x v="5"/>
    <s v="P104"/>
    <n v="9"/>
    <n v="3551"/>
    <s v="Chair"/>
    <x v="1"/>
    <n v="2500"/>
    <n v="31959"/>
    <n v="22500"/>
    <n v="9459"/>
    <n v="900000"/>
    <n v="3.551E-2"/>
  </r>
  <r>
    <s v="O0036"/>
    <x v="34"/>
    <x v="3"/>
    <x v="0"/>
    <s v="P102"/>
    <n v="14"/>
    <n v="2546"/>
    <s v="Mobile"/>
    <x v="0"/>
    <n v="18000"/>
    <n v="35644"/>
    <n v="252000"/>
    <n v="-216356"/>
    <n v="920000"/>
    <n v="3.8743478260869567E-2"/>
  </r>
  <r>
    <s v="O0037"/>
    <x v="35"/>
    <x v="1"/>
    <x v="1"/>
    <s v="P102"/>
    <n v="1"/>
    <n v="4966"/>
    <s v="Mobile"/>
    <x v="0"/>
    <n v="18000"/>
    <n v="4966"/>
    <n v="18000"/>
    <n v="-13034"/>
    <n v="880000"/>
    <n v="5.643181818181818E-3"/>
  </r>
  <r>
    <s v="O0038"/>
    <x v="36"/>
    <x v="0"/>
    <x v="1"/>
    <s v="P105"/>
    <n v="12"/>
    <n v="6761"/>
    <s v="Table"/>
    <x v="1"/>
    <n v="7000"/>
    <n v="81132"/>
    <n v="84000"/>
    <n v="-2868"/>
    <n v="880000"/>
    <n v="9.2195454545454539E-2"/>
  </r>
  <r>
    <s v="O0039"/>
    <x v="37"/>
    <x v="2"/>
    <x v="0"/>
    <s v="P106"/>
    <n v="15"/>
    <n v="2972"/>
    <s v="Sofa"/>
    <x v="1"/>
    <n v="15000"/>
    <n v="44580"/>
    <n v="225000"/>
    <n v="-180420"/>
    <n v="920000"/>
    <n v="4.8456521739130433E-2"/>
  </r>
  <r>
    <s v="O0040"/>
    <x v="38"/>
    <x v="0"/>
    <x v="3"/>
    <s v="P102"/>
    <n v="15"/>
    <n v="5174"/>
    <s v="Mobile"/>
    <x v="0"/>
    <n v="18000"/>
    <n v="77610"/>
    <n v="270000"/>
    <n v="-192390"/>
    <n v="800000"/>
    <n v="9.7012500000000002E-2"/>
  </r>
  <r>
    <s v="O0041"/>
    <x v="39"/>
    <x v="0"/>
    <x v="0"/>
    <s v="P103"/>
    <n v="8"/>
    <n v="6311"/>
    <s v="Headphones"/>
    <x v="0"/>
    <n v="2000"/>
    <n v="50488"/>
    <n v="16000"/>
    <n v="34488"/>
    <n v="920000"/>
    <n v="5.4878260869565217E-2"/>
  </r>
  <r>
    <s v="O0042"/>
    <x v="40"/>
    <x v="0"/>
    <x v="4"/>
    <s v="P108"/>
    <n v="1"/>
    <n v="1299"/>
    <s v="Shoes"/>
    <x v="2"/>
    <n v="2000"/>
    <n v="1299"/>
    <n v="2000"/>
    <n v="-701"/>
    <n v="850000"/>
    <n v="1.5282352941176471E-3"/>
  </r>
  <r>
    <s v="O0043"/>
    <x v="41"/>
    <x v="1"/>
    <x v="6"/>
    <s v="P104"/>
    <n v="6"/>
    <n v="7608"/>
    <s v="Chair"/>
    <x v="1"/>
    <n v="2500"/>
    <n v="45648"/>
    <n v="15000"/>
    <n v="30648"/>
    <n v="890000"/>
    <n v="5.1289887640449436E-2"/>
  </r>
  <r>
    <s v="O0044"/>
    <x v="42"/>
    <x v="1"/>
    <x v="5"/>
    <s v="P104"/>
    <n v="14"/>
    <n v="1476"/>
    <s v="Chair"/>
    <x v="1"/>
    <n v="2500"/>
    <n v="20664"/>
    <n v="35000"/>
    <n v="-14336"/>
    <n v="900000"/>
    <n v="2.2960000000000001E-2"/>
  </r>
  <r>
    <s v="O0045"/>
    <x v="4"/>
    <x v="2"/>
    <x v="4"/>
    <s v="P103"/>
    <n v="2"/>
    <n v="3226"/>
    <s v="Headphones"/>
    <x v="0"/>
    <n v="2000"/>
    <n v="6452"/>
    <n v="4000"/>
    <n v="2452"/>
    <n v="850000"/>
    <n v="7.5905882352941181E-3"/>
  </r>
  <r>
    <s v="O0046"/>
    <x v="43"/>
    <x v="0"/>
    <x v="0"/>
    <s v="P107"/>
    <n v="7"/>
    <n v="2439"/>
    <s v="Jacket"/>
    <x v="2"/>
    <n v="1500"/>
    <n v="17073"/>
    <n v="10500"/>
    <n v="6573"/>
    <n v="920000"/>
    <n v="1.8557608695652174E-2"/>
  </r>
  <r>
    <s v="O0047"/>
    <x v="44"/>
    <x v="3"/>
    <x v="1"/>
    <s v="P103"/>
    <n v="13"/>
    <n v="7074"/>
    <s v="Headphones"/>
    <x v="0"/>
    <n v="2000"/>
    <n v="91962"/>
    <n v="26000"/>
    <n v="65962"/>
    <n v="880000"/>
    <n v="0.10450227272727272"/>
  </r>
  <r>
    <s v="O0048"/>
    <x v="45"/>
    <x v="2"/>
    <x v="5"/>
    <s v="P104"/>
    <n v="13"/>
    <n v="2798"/>
    <s v="Chair"/>
    <x v="1"/>
    <n v="2500"/>
    <n v="36374"/>
    <n v="32500"/>
    <n v="3874"/>
    <n v="900000"/>
    <n v="4.0415555555555559E-2"/>
  </r>
  <r>
    <s v="O0049"/>
    <x v="46"/>
    <x v="3"/>
    <x v="4"/>
    <s v="P104"/>
    <n v="8"/>
    <n v="573"/>
    <s v="Chair"/>
    <x v="1"/>
    <n v="2500"/>
    <n v="4584"/>
    <n v="20000"/>
    <n v="-15416"/>
    <n v="850000"/>
    <n v="5.3929411764705882E-3"/>
  </r>
  <r>
    <s v="O0050"/>
    <x v="47"/>
    <x v="2"/>
    <x v="5"/>
    <s v="P102"/>
    <n v="6"/>
    <n v="5928"/>
    <s v="Mobile"/>
    <x v="0"/>
    <n v="18000"/>
    <n v="35568"/>
    <n v="108000"/>
    <n v="-72432"/>
    <n v="900000"/>
    <n v="3.952E-2"/>
  </r>
  <r>
    <s v="O0051"/>
    <x v="29"/>
    <x v="3"/>
    <x v="0"/>
    <s v="P108"/>
    <n v="6"/>
    <n v="1482"/>
    <s v="Shoes"/>
    <x v="2"/>
    <n v="2000"/>
    <n v="8892"/>
    <n v="12000"/>
    <n v="-3108"/>
    <n v="920000"/>
    <n v="9.6652173913043486E-3"/>
  </r>
  <r>
    <s v="O0052"/>
    <x v="48"/>
    <x v="3"/>
    <x v="4"/>
    <s v="P102"/>
    <n v="14"/>
    <n v="2236"/>
    <s v="Mobile"/>
    <x v="0"/>
    <n v="18000"/>
    <n v="31304"/>
    <n v="252000"/>
    <n v="-220696"/>
    <n v="850000"/>
    <n v="3.6828235294117648E-2"/>
  </r>
  <r>
    <s v="O0053"/>
    <x v="49"/>
    <x v="3"/>
    <x v="3"/>
    <s v="P104"/>
    <n v="7"/>
    <n v="5072"/>
    <s v="Chair"/>
    <x v="1"/>
    <n v="2500"/>
    <n v="35504"/>
    <n v="17500"/>
    <n v="18004"/>
    <n v="800000"/>
    <n v="4.4380000000000003E-2"/>
  </r>
  <r>
    <s v="O0054"/>
    <x v="4"/>
    <x v="1"/>
    <x v="6"/>
    <s v="P106"/>
    <n v="5"/>
    <n v="2037"/>
    <s v="Sofa"/>
    <x v="1"/>
    <n v="15000"/>
    <n v="10185"/>
    <n v="75000"/>
    <n v="-64815"/>
    <n v="890000"/>
    <n v="1.1443820224719101E-2"/>
  </r>
  <r>
    <s v="O0055"/>
    <x v="50"/>
    <x v="1"/>
    <x v="3"/>
    <s v="P107"/>
    <n v="12"/>
    <n v="2037"/>
    <s v="Jacket"/>
    <x v="2"/>
    <n v="1500"/>
    <n v="24444"/>
    <n v="18000"/>
    <n v="6444"/>
    <n v="800000"/>
    <n v="3.0554999999999999E-2"/>
  </r>
  <r>
    <s v="O0056"/>
    <x v="51"/>
    <x v="0"/>
    <x v="0"/>
    <s v="P108"/>
    <n v="9"/>
    <n v="579"/>
    <s v="Shoes"/>
    <x v="2"/>
    <n v="2000"/>
    <n v="5211"/>
    <n v="18000"/>
    <n v="-12789"/>
    <n v="920000"/>
    <n v="5.6641304347826091E-3"/>
  </r>
  <r>
    <s v="O0057"/>
    <x v="52"/>
    <x v="3"/>
    <x v="3"/>
    <s v="P108"/>
    <n v="6"/>
    <n v="4465"/>
    <s v="Shoes"/>
    <x v="2"/>
    <n v="2000"/>
    <n v="26790"/>
    <n v="12000"/>
    <n v="14790"/>
    <n v="800000"/>
    <n v="3.3487500000000003E-2"/>
  </r>
  <r>
    <s v="O0058"/>
    <x v="53"/>
    <x v="3"/>
    <x v="2"/>
    <s v="P105"/>
    <n v="6"/>
    <n v="4577"/>
    <s v="Table"/>
    <x v="1"/>
    <n v="7000"/>
    <n v="27462"/>
    <n v="42000"/>
    <n v="-14538"/>
    <n v="950000"/>
    <n v="2.8907368421052633E-2"/>
  </r>
  <r>
    <s v="O0059"/>
    <x v="54"/>
    <x v="3"/>
    <x v="0"/>
    <s v="P102"/>
    <n v="7"/>
    <n v="4661"/>
    <s v="Mobile"/>
    <x v="0"/>
    <n v="18000"/>
    <n v="32627"/>
    <n v="126000"/>
    <n v="-93373"/>
    <n v="920000"/>
    <n v="3.5464130434782609E-2"/>
  </r>
  <r>
    <s v="O0060"/>
    <x v="55"/>
    <x v="3"/>
    <x v="1"/>
    <s v="P106"/>
    <n v="8"/>
    <n v="889"/>
    <s v="Sofa"/>
    <x v="1"/>
    <n v="15000"/>
    <n v="7112"/>
    <n v="120000"/>
    <n v="-112888"/>
    <n v="880000"/>
    <n v="8.0818181818181813E-3"/>
  </r>
  <r>
    <s v="O0061"/>
    <x v="56"/>
    <x v="1"/>
    <x v="5"/>
    <s v="P108"/>
    <n v="11"/>
    <n v="3995"/>
    <s v="Shoes"/>
    <x v="2"/>
    <n v="2000"/>
    <n v="43945"/>
    <n v="22000"/>
    <n v="21945"/>
    <n v="900000"/>
    <n v="4.8827777777777776E-2"/>
  </r>
  <r>
    <s v="O0062"/>
    <x v="57"/>
    <x v="3"/>
    <x v="1"/>
    <s v="P101"/>
    <n v="1"/>
    <n v="5980"/>
    <s v="Laptop"/>
    <x v="0"/>
    <n v="35000"/>
    <n v="5980"/>
    <n v="35000"/>
    <n v="-29020"/>
    <n v="880000"/>
    <n v="6.7954545454545455E-3"/>
  </r>
  <r>
    <s v="O0063"/>
    <x v="58"/>
    <x v="0"/>
    <x v="4"/>
    <s v="P101"/>
    <n v="12"/>
    <n v="6286"/>
    <s v="Laptop"/>
    <x v="0"/>
    <n v="35000"/>
    <n v="75432"/>
    <n v="420000"/>
    <n v="-344568"/>
    <n v="850000"/>
    <n v="8.8743529411764707E-2"/>
  </r>
  <r>
    <s v="O0064"/>
    <x v="59"/>
    <x v="0"/>
    <x v="6"/>
    <s v="P105"/>
    <n v="6"/>
    <n v="3786"/>
    <s v="Table"/>
    <x v="1"/>
    <n v="7000"/>
    <n v="22716"/>
    <n v="42000"/>
    <n v="-19284"/>
    <n v="890000"/>
    <n v="2.5523595505617978E-2"/>
  </r>
  <r>
    <s v="O0065"/>
    <x v="60"/>
    <x v="2"/>
    <x v="7"/>
    <s v="P107"/>
    <n v="1"/>
    <n v="5602"/>
    <s v="Jacket"/>
    <x v="2"/>
    <n v="1500"/>
    <n v="5602"/>
    <n v="1500"/>
    <n v="4102"/>
    <n v="870000"/>
    <n v="6.439080459770115E-3"/>
  </r>
  <r>
    <s v="O0066"/>
    <x v="19"/>
    <x v="0"/>
    <x v="5"/>
    <s v="P106"/>
    <n v="11"/>
    <n v="6816"/>
    <s v="Sofa"/>
    <x v="1"/>
    <n v="15000"/>
    <n v="74976"/>
    <n v="165000"/>
    <n v="-90024"/>
    <n v="900000"/>
    <n v="8.3306666666666668E-2"/>
  </r>
  <r>
    <s v="O0067"/>
    <x v="61"/>
    <x v="0"/>
    <x v="2"/>
    <s v="P102"/>
    <n v="12"/>
    <n v="676"/>
    <s v="Mobile"/>
    <x v="0"/>
    <n v="18000"/>
    <n v="8112"/>
    <n v="216000"/>
    <n v="-207888"/>
    <n v="950000"/>
    <n v="8.5389473684210522E-3"/>
  </r>
  <r>
    <s v="O0068"/>
    <x v="62"/>
    <x v="3"/>
    <x v="4"/>
    <s v="P107"/>
    <n v="3"/>
    <n v="3642"/>
    <s v="Jacket"/>
    <x v="2"/>
    <n v="1500"/>
    <n v="10926"/>
    <n v="4500"/>
    <n v="6426"/>
    <n v="850000"/>
    <n v="1.2854117647058823E-2"/>
  </r>
  <r>
    <s v="O0069"/>
    <x v="63"/>
    <x v="3"/>
    <x v="0"/>
    <s v="P107"/>
    <n v="6"/>
    <n v="1819"/>
    <s v="Jacket"/>
    <x v="2"/>
    <n v="1500"/>
    <n v="10914"/>
    <n v="9000"/>
    <n v="1914"/>
    <n v="920000"/>
    <n v="1.186304347826087E-2"/>
  </r>
  <r>
    <s v="O0070"/>
    <x v="64"/>
    <x v="2"/>
    <x v="7"/>
    <s v="P107"/>
    <n v="5"/>
    <n v="4546"/>
    <s v="Jacket"/>
    <x v="2"/>
    <n v="1500"/>
    <n v="22730"/>
    <n v="7500"/>
    <n v="15230"/>
    <n v="870000"/>
    <n v="2.6126436781609197E-2"/>
  </r>
  <r>
    <s v="O0071"/>
    <x v="28"/>
    <x v="1"/>
    <x v="6"/>
    <s v="P105"/>
    <n v="4"/>
    <n v="808"/>
    <s v="Table"/>
    <x v="1"/>
    <n v="7000"/>
    <n v="3232"/>
    <n v="28000"/>
    <n v="-24768"/>
    <n v="890000"/>
    <n v="3.6314606741573033E-3"/>
  </r>
  <r>
    <s v="O0072"/>
    <x v="65"/>
    <x v="0"/>
    <x v="7"/>
    <s v="P102"/>
    <n v="14"/>
    <n v="4331"/>
    <s v="Mobile"/>
    <x v="0"/>
    <n v="18000"/>
    <n v="60634"/>
    <n v="252000"/>
    <n v="-191366"/>
    <n v="870000"/>
    <n v="6.969425287356322E-2"/>
  </r>
  <r>
    <s v="O0073"/>
    <x v="66"/>
    <x v="3"/>
    <x v="2"/>
    <s v="P102"/>
    <n v="15"/>
    <n v="7028"/>
    <s v="Mobile"/>
    <x v="0"/>
    <n v="18000"/>
    <n v="105420"/>
    <n v="270000"/>
    <n v="-164580"/>
    <n v="950000"/>
    <n v="0.11096842105263158"/>
  </r>
  <r>
    <s v="O0074"/>
    <x v="67"/>
    <x v="2"/>
    <x v="5"/>
    <s v="P106"/>
    <n v="5"/>
    <n v="7973"/>
    <s v="Sofa"/>
    <x v="1"/>
    <n v="15000"/>
    <n v="39865"/>
    <n v="75000"/>
    <n v="-35135"/>
    <n v="900000"/>
    <n v="4.4294444444444442E-2"/>
  </r>
  <r>
    <s v="O0075"/>
    <x v="54"/>
    <x v="2"/>
    <x v="4"/>
    <s v="P108"/>
    <n v="7"/>
    <n v="6896"/>
    <s v="Shoes"/>
    <x v="2"/>
    <n v="2000"/>
    <n v="48272"/>
    <n v="14000"/>
    <n v="34272"/>
    <n v="850000"/>
    <n v="5.679058823529412E-2"/>
  </r>
  <r>
    <s v="O0076"/>
    <x v="68"/>
    <x v="0"/>
    <x v="2"/>
    <s v="P107"/>
    <n v="4"/>
    <n v="7123"/>
    <s v="Jacket"/>
    <x v="2"/>
    <n v="1500"/>
    <n v="28492"/>
    <n v="6000"/>
    <n v="22492"/>
    <n v="950000"/>
    <n v="2.9991578947368421E-2"/>
  </r>
  <r>
    <s v="O0077"/>
    <x v="69"/>
    <x v="0"/>
    <x v="4"/>
    <s v="P104"/>
    <n v="11"/>
    <n v="1887"/>
    <s v="Chair"/>
    <x v="1"/>
    <n v="2500"/>
    <n v="20757"/>
    <n v="27500"/>
    <n v="-6743"/>
    <n v="850000"/>
    <n v="2.4420000000000001E-2"/>
  </r>
  <r>
    <s v="O0078"/>
    <x v="70"/>
    <x v="2"/>
    <x v="4"/>
    <s v="P107"/>
    <n v="3"/>
    <n v="6566"/>
    <s v="Jacket"/>
    <x v="2"/>
    <n v="1500"/>
    <n v="19698"/>
    <n v="4500"/>
    <n v="15198"/>
    <n v="850000"/>
    <n v="2.3174117647058824E-2"/>
  </r>
  <r>
    <s v="O0079"/>
    <x v="2"/>
    <x v="1"/>
    <x v="3"/>
    <s v="P104"/>
    <n v="6"/>
    <n v="6007"/>
    <s v="Chair"/>
    <x v="1"/>
    <n v="2500"/>
    <n v="36042"/>
    <n v="15000"/>
    <n v="21042"/>
    <n v="800000"/>
    <n v="4.5052500000000002E-2"/>
  </r>
  <r>
    <s v="O0080"/>
    <x v="71"/>
    <x v="2"/>
    <x v="2"/>
    <s v="P104"/>
    <n v="10"/>
    <n v="1527"/>
    <s v="Chair"/>
    <x v="1"/>
    <n v="2500"/>
    <n v="15270"/>
    <n v="25000"/>
    <n v="-9730"/>
    <n v="950000"/>
    <n v="1.6073684210526316E-2"/>
  </r>
  <r>
    <s v="O0081"/>
    <x v="72"/>
    <x v="2"/>
    <x v="7"/>
    <s v="P107"/>
    <n v="1"/>
    <n v="2868"/>
    <s v="Jacket"/>
    <x v="2"/>
    <n v="1500"/>
    <n v="2868"/>
    <n v="1500"/>
    <n v="1368"/>
    <n v="870000"/>
    <n v="3.296551724137931E-3"/>
  </r>
  <r>
    <s v="O0082"/>
    <x v="73"/>
    <x v="1"/>
    <x v="3"/>
    <s v="P108"/>
    <n v="12"/>
    <n v="3740"/>
    <s v="Shoes"/>
    <x v="2"/>
    <n v="2000"/>
    <n v="44880"/>
    <n v="24000"/>
    <n v="20880"/>
    <n v="800000"/>
    <n v="5.6099999999999997E-2"/>
  </r>
  <r>
    <s v="O0083"/>
    <x v="74"/>
    <x v="2"/>
    <x v="6"/>
    <s v="P104"/>
    <n v="5"/>
    <n v="5433"/>
    <s v="Chair"/>
    <x v="1"/>
    <n v="2500"/>
    <n v="27165"/>
    <n v="12500"/>
    <n v="14665"/>
    <n v="890000"/>
    <n v="3.0522471910112359E-2"/>
  </r>
  <r>
    <s v="O0084"/>
    <x v="4"/>
    <x v="1"/>
    <x v="5"/>
    <s v="P102"/>
    <n v="12"/>
    <n v="3844"/>
    <s v="Mobile"/>
    <x v="0"/>
    <n v="18000"/>
    <n v="46128"/>
    <n v="216000"/>
    <n v="-169872"/>
    <n v="900000"/>
    <n v="5.1253333333333331E-2"/>
  </r>
  <r>
    <s v="O0085"/>
    <x v="75"/>
    <x v="0"/>
    <x v="2"/>
    <s v="P103"/>
    <n v="1"/>
    <n v="2521"/>
    <s v="Headphones"/>
    <x v="0"/>
    <n v="2000"/>
    <n v="2521"/>
    <n v="2000"/>
    <n v="521"/>
    <n v="950000"/>
    <n v="2.6536842105263159E-3"/>
  </r>
  <r>
    <s v="O0086"/>
    <x v="76"/>
    <x v="0"/>
    <x v="3"/>
    <s v="P107"/>
    <n v="8"/>
    <n v="7545"/>
    <s v="Jacket"/>
    <x v="2"/>
    <n v="1500"/>
    <n v="60360"/>
    <n v="12000"/>
    <n v="48360"/>
    <n v="800000"/>
    <n v="7.5450000000000003E-2"/>
  </r>
  <r>
    <s v="O0087"/>
    <x v="77"/>
    <x v="1"/>
    <x v="5"/>
    <s v="P105"/>
    <n v="11"/>
    <n v="1970"/>
    <s v="Table"/>
    <x v="1"/>
    <n v="7000"/>
    <n v="21670"/>
    <n v="77000"/>
    <n v="-55330"/>
    <n v="900000"/>
    <n v="2.4077777777777778E-2"/>
  </r>
  <r>
    <s v="O0088"/>
    <x v="78"/>
    <x v="1"/>
    <x v="7"/>
    <s v="P108"/>
    <n v="15"/>
    <n v="2745"/>
    <s v="Shoes"/>
    <x v="2"/>
    <n v="2000"/>
    <n v="41175"/>
    <n v="30000"/>
    <n v="11175"/>
    <n v="870000"/>
    <n v="4.7327586206896553E-2"/>
  </r>
  <r>
    <s v="O0089"/>
    <x v="79"/>
    <x v="3"/>
    <x v="5"/>
    <s v="P108"/>
    <n v="8"/>
    <n v="4460"/>
    <s v="Shoes"/>
    <x v="2"/>
    <n v="2000"/>
    <n v="35680"/>
    <n v="16000"/>
    <n v="19680"/>
    <n v="900000"/>
    <n v="3.9644444444444447E-2"/>
  </r>
  <r>
    <s v="O0090"/>
    <x v="80"/>
    <x v="2"/>
    <x v="0"/>
    <s v="P104"/>
    <n v="13"/>
    <n v="1118"/>
    <s v="Chair"/>
    <x v="1"/>
    <n v="2500"/>
    <n v="14534"/>
    <n v="32500"/>
    <n v="-17966"/>
    <n v="920000"/>
    <n v="1.5797826086956523E-2"/>
  </r>
  <r>
    <s v="O0091"/>
    <x v="81"/>
    <x v="2"/>
    <x v="2"/>
    <s v="P103"/>
    <n v="5"/>
    <n v="2120"/>
    <s v="Headphones"/>
    <x v="0"/>
    <n v="2000"/>
    <n v="10600"/>
    <n v="10000"/>
    <n v="600"/>
    <n v="950000"/>
    <n v="1.1157894736842104E-2"/>
  </r>
  <r>
    <s v="O0092"/>
    <x v="82"/>
    <x v="0"/>
    <x v="1"/>
    <s v="P103"/>
    <n v="8"/>
    <n v="6162"/>
    <s v="Headphones"/>
    <x v="0"/>
    <n v="2000"/>
    <n v="49296"/>
    <n v="16000"/>
    <n v="33296"/>
    <n v="880000"/>
    <n v="5.6018181818181821E-2"/>
  </r>
  <r>
    <s v="O0093"/>
    <x v="34"/>
    <x v="3"/>
    <x v="6"/>
    <s v="P107"/>
    <n v="13"/>
    <n v="4382"/>
    <s v="Jacket"/>
    <x v="2"/>
    <n v="1500"/>
    <n v="56966"/>
    <n v="19500"/>
    <n v="37466"/>
    <n v="890000"/>
    <n v="6.400674157303371E-2"/>
  </r>
  <r>
    <s v="O0094"/>
    <x v="83"/>
    <x v="0"/>
    <x v="4"/>
    <s v="P107"/>
    <n v="12"/>
    <n v="7790"/>
    <s v="Jacket"/>
    <x v="2"/>
    <n v="1500"/>
    <n v="93480"/>
    <n v="18000"/>
    <n v="75480"/>
    <n v="850000"/>
    <n v="0.1099764705882353"/>
  </r>
  <r>
    <s v="O0095"/>
    <x v="58"/>
    <x v="2"/>
    <x v="1"/>
    <s v="P106"/>
    <n v="4"/>
    <n v="6861"/>
    <s v="Sofa"/>
    <x v="1"/>
    <n v="15000"/>
    <n v="27444"/>
    <n v="60000"/>
    <n v="-32556"/>
    <n v="880000"/>
    <n v="3.1186363636363637E-2"/>
  </r>
  <r>
    <s v="O0096"/>
    <x v="84"/>
    <x v="3"/>
    <x v="5"/>
    <s v="P107"/>
    <n v="5"/>
    <n v="3345"/>
    <s v="Jacket"/>
    <x v="2"/>
    <n v="1500"/>
    <n v="16725"/>
    <n v="7500"/>
    <n v="9225"/>
    <n v="900000"/>
    <n v="1.8583333333333334E-2"/>
  </r>
  <r>
    <s v="O0097"/>
    <x v="85"/>
    <x v="3"/>
    <x v="0"/>
    <s v="P103"/>
    <n v="11"/>
    <n v="732"/>
    <s v="Headphones"/>
    <x v="0"/>
    <n v="2000"/>
    <n v="8052"/>
    <n v="22000"/>
    <n v="-13948"/>
    <n v="920000"/>
    <n v="8.7521739130434779E-3"/>
  </r>
  <r>
    <s v="O0098"/>
    <x v="30"/>
    <x v="0"/>
    <x v="2"/>
    <s v="P102"/>
    <n v="15"/>
    <n v="1109"/>
    <s v="Mobile"/>
    <x v="0"/>
    <n v="18000"/>
    <n v="16635"/>
    <n v="270000"/>
    <n v="-253365"/>
    <n v="950000"/>
    <n v="1.7510526315789473E-2"/>
  </r>
  <r>
    <s v="O0099"/>
    <x v="86"/>
    <x v="0"/>
    <x v="7"/>
    <s v="P106"/>
    <n v="5"/>
    <n v="6977"/>
    <s v="Sofa"/>
    <x v="1"/>
    <n v="15000"/>
    <n v="34885"/>
    <n v="75000"/>
    <n v="-40115"/>
    <n v="870000"/>
    <n v="4.0097701149425284E-2"/>
  </r>
  <r>
    <s v="O0100"/>
    <x v="87"/>
    <x v="0"/>
    <x v="4"/>
    <s v="P103"/>
    <n v="2"/>
    <n v="1188"/>
    <s v="Headphones"/>
    <x v="0"/>
    <n v="2000"/>
    <n v="2376"/>
    <n v="4000"/>
    <n v="-1624"/>
    <n v="850000"/>
    <n v="2.795294117647059E-3"/>
  </r>
  <r>
    <s v="O0101"/>
    <x v="88"/>
    <x v="2"/>
    <x v="4"/>
    <s v="P106"/>
    <n v="7"/>
    <n v="7167"/>
    <s v="Sofa"/>
    <x v="1"/>
    <n v="15000"/>
    <n v="50169"/>
    <n v="105000"/>
    <n v="-54831"/>
    <n v="850000"/>
    <n v="5.902235294117647E-2"/>
  </r>
  <r>
    <s v="O0102"/>
    <x v="89"/>
    <x v="0"/>
    <x v="6"/>
    <s v="P102"/>
    <n v="15"/>
    <n v="1650"/>
    <s v="Mobile"/>
    <x v="0"/>
    <n v="18000"/>
    <n v="24750"/>
    <n v="270000"/>
    <n v="-245250"/>
    <n v="890000"/>
    <n v="2.7808988764044945E-2"/>
  </r>
  <r>
    <s v="O0103"/>
    <x v="90"/>
    <x v="3"/>
    <x v="0"/>
    <s v="P104"/>
    <n v="12"/>
    <n v="6249"/>
    <s v="Chair"/>
    <x v="1"/>
    <n v="2500"/>
    <n v="74988"/>
    <n v="30000"/>
    <n v="44988"/>
    <n v="920000"/>
    <n v="8.1508695652173918E-2"/>
  </r>
  <r>
    <s v="O0104"/>
    <x v="91"/>
    <x v="3"/>
    <x v="0"/>
    <s v="P107"/>
    <n v="15"/>
    <n v="1654"/>
    <s v="Jacket"/>
    <x v="2"/>
    <n v="1500"/>
    <n v="24810"/>
    <n v="22500"/>
    <n v="2310"/>
    <n v="920000"/>
    <n v="2.6967391304347825E-2"/>
  </r>
  <r>
    <s v="O0105"/>
    <x v="92"/>
    <x v="2"/>
    <x v="4"/>
    <s v="P105"/>
    <n v="11"/>
    <n v="7564"/>
    <s v="Table"/>
    <x v="1"/>
    <n v="7000"/>
    <n v="83204"/>
    <n v="77000"/>
    <n v="6204"/>
    <n v="850000"/>
    <n v="9.788705882352941E-2"/>
  </r>
  <r>
    <s v="O0106"/>
    <x v="93"/>
    <x v="3"/>
    <x v="7"/>
    <s v="P106"/>
    <n v="11"/>
    <n v="2176"/>
    <s v="Sofa"/>
    <x v="1"/>
    <n v="15000"/>
    <n v="23936"/>
    <n v="165000"/>
    <n v="-141064"/>
    <n v="870000"/>
    <n v="2.751264367816092E-2"/>
  </r>
  <r>
    <s v="O0107"/>
    <x v="94"/>
    <x v="2"/>
    <x v="5"/>
    <s v="P106"/>
    <n v="6"/>
    <n v="7198"/>
    <s v="Sofa"/>
    <x v="1"/>
    <n v="15000"/>
    <n v="43188"/>
    <n v="90000"/>
    <n v="-46812"/>
    <n v="900000"/>
    <n v="4.7986666666666664E-2"/>
  </r>
  <r>
    <s v="O0108"/>
    <x v="95"/>
    <x v="2"/>
    <x v="3"/>
    <s v="P105"/>
    <n v="1"/>
    <n v="626"/>
    <s v="Table"/>
    <x v="1"/>
    <n v="7000"/>
    <n v="626"/>
    <n v="7000"/>
    <n v="-6374"/>
    <n v="800000"/>
    <n v="7.8249999999999999E-4"/>
  </r>
  <r>
    <s v="O0109"/>
    <x v="96"/>
    <x v="1"/>
    <x v="0"/>
    <s v="P104"/>
    <n v="4"/>
    <n v="6876"/>
    <s v="Chair"/>
    <x v="1"/>
    <n v="2500"/>
    <n v="27504"/>
    <n v="10000"/>
    <n v="17504"/>
    <n v="920000"/>
    <n v="2.9895652173913042E-2"/>
  </r>
  <r>
    <s v="O0110"/>
    <x v="97"/>
    <x v="3"/>
    <x v="2"/>
    <s v="P103"/>
    <n v="13"/>
    <n v="2316"/>
    <s v="Headphones"/>
    <x v="0"/>
    <n v="2000"/>
    <n v="30108"/>
    <n v="26000"/>
    <n v="4108"/>
    <n v="950000"/>
    <n v="3.1692631578947368E-2"/>
  </r>
  <r>
    <s v="O0111"/>
    <x v="98"/>
    <x v="1"/>
    <x v="5"/>
    <s v="P104"/>
    <n v="1"/>
    <n v="4885"/>
    <s v="Chair"/>
    <x v="1"/>
    <n v="2500"/>
    <n v="4885"/>
    <n v="2500"/>
    <n v="2385"/>
    <n v="900000"/>
    <n v="5.4277777777777779E-3"/>
  </r>
  <r>
    <s v="O0112"/>
    <x v="85"/>
    <x v="3"/>
    <x v="6"/>
    <s v="P106"/>
    <n v="7"/>
    <n v="6883"/>
    <s v="Sofa"/>
    <x v="1"/>
    <n v="15000"/>
    <n v="48181"/>
    <n v="105000"/>
    <n v="-56819"/>
    <n v="890000"/>
    <n v="5.4135955056179776E-2"/>
  </r>
  <r>
    <s v="O0113"/>
    <x v="99"/>
    <x v="2"/>
    <x v="0"/>
    <s v="P107"/>
    <n v="7"/>
    <n v="5528"/>
    <s v="Jacket"/>
    <x v="2"/>
    <n v="1500"/>
    <n v="38696"/>
    <n v="10500"/>
    <n v="28196"/>
    <n v="920000"/>
    <n v="4.2060869565217394E-2"/>
  </r>
  <r>
    <s v="O0114"/>
    <x v="26"/>
    <x v="2"/>
    <x v="7"/>
    <s v="P106"/>
    <n v="9"/>
    <n v="2385"/>
    <s v="Sofa"/>
    <x v="1"/>
    <n v="15000"/>
    <n v="21465"/>
    <n v="135000"/>
    <n v="-113535"/>
    <n v="870000"/>
    <n v="2.4672413793103448E-2"/>
  </r>
  <r>
    <s v="O0115"/>
    <x v="16"/>
    <x v="3"/>
    <x v="6"/>
    <s v="P104"/>
    <n v="14"/>
    <n v="1669"/>
    <s v="Chair"/>
    <x v="1"/>
    <n v="2500"/>
    <n v="23366"/>
    <n v="35000"/>
    <n v="-11634"/>
    <n v="890000"/>
    <n v="2.6253932584269665E-2"/>
  </r>
  <r>
    <s v="O0116"/>
    <x v="100"/>
    <x v="1"/>
    <x v="5"/>
    <s v="P103"/>
    <n v="13"/>
    <n v="6899"/>
    <s v="Headphones"/>
    <x v="0"/>
    <n v="2000"/>
    <n v="89687"/>
    <n v="26000"/>
    <n v="63687"/>
    <n v="900000"/>
    <n v="9.9652222222222225E-2"/>
  </r>
  <r>
    <s v="O0117"/>
    <x v="101"/>
    <x v="1"/>
    <x v="3"/>
    <s v="P107"/>
    <n v="14"/>
    <n v="3262"/>
    <s v="Jacket"/>
    <x v="2"/>
    <n v="1500"/>
    <n v="45668"/>
    <n v="21000"/>
    <n v="24668"/>
    <n v="800000"/>
    <n v="5.7084999999999997E-2"/>
  </r>
  <r>
    <s v="O0118"/>
    <x v="102"/>
    <x v="3"/>
    <x v="7"/>
    <s v="P101"/>
    <n v="4"/>
    <n v="1941"/>
    <s v="Laptop"/>
    <x v="0"/>
    <n v="35000"/>
    <n v="7764"/>
    <n v="140000"/>
    <n v="-132236"/>
    <n v="870000"/>
    <n v="8.9241379310344825E-3"/>
  </r>
  <r>
    <s v="O0119"/>
    <x v="103"/>
    <x v="1"/>
    <x v="4"/>
    <s v="P105"/>
    <n v="13"/>
    <n v="7252"/>
    <s v="Table"/>
    <x v="1"/>
    <n v="7000"/>
    <n v="94276"/>
    <n v="91000"/>
    <n v="3276"/>
    <n v="850000"/>
    <n v="0.11091294117647059"/>
  </r>
  <r>
    <s v="O0120"/>
    <x v="104"/>
    <x v="1"/>
    <x v="7"/>
    <s v="P104"/>
    <n v="2"/>
    <n v="1901"/>
    <s v="Chair"/>
    <x v="1"/>
    <n v="2500"/>
    <n v="3802"/>
    <n v="5000"/>
    <n v="-1198"/>
    <n v="870000"/>
    <n v="4.3701149425287352E-3"/>
  </r>
  <r>
    <s v="O0121"/>
    <x v="105"/>
    <x v="0"/>
    <x v="2"/>
    <s v="P104"/>
    <n v="8"/>
    <n v="4197"/>
    <s v="Chair"/>
    <x v="1"/>
    <n v="2500"/>
    <n v="33576"/>
    <n v="20000"/>
    <n v="13576"/>
    <n v="950000"/>
    <n v="3.534315789473684E-2"/>
  </r>
  <r>
    <s v="O0122"/>
    <x v="106"/>
    <x v="1"/>
    <x v="7"/>
    <s v="P106"/>
    <n v="8"/>
    <n v="7188"/>
    <s v="Sofa"/>
    <x v="1"/>
    <n v="15000"/>
    <n v="57504"/>
    <n v="120000"/>
    <n v="-62496"/>
    <n v="870000"/>
    <n v="6.6096551724137934E-2"/>
  </r>
  <r>
    <s v="O0123"/>
    <x v="107"/>
    <x v="0"/>
    <x v="7"/>
    <s v="P102"/>
    <n v="10"/>
    <n v="4612"/>
    <s v="Mobile"/>
    <x v="0"/>
    <n v="18000"/>
    <n v="46120"/>
    <n v="180000"/>
    <n v="-133880"/>
    <n v="870000"/>
    <n v="5.3011494252873562E-2"/>
  </r>
  <r>
    <s v="O0124"/>
    <x v="108"/>
    <x v="1"/>
    <x v="0"/>
    <s v="P102"/>
    <n v="4"/>
    <n v="3682"/>
    <s v="Mobile"/>
    <x v="0"/>
    <n v="18000"/>
    <n v="14728"/>
    <n v="72000"/>
    <n v="-57272"/>
    <n v="920000"/>
    <n v="1.6008695652173912E-2"/>
  </r>
  <r>
    <s v="O0125"/>
    <x v="109"/>
    <x v="1"/>
    <x v="2"/>
    <s v="P106"/>
    <n v="3"/>
    <n v="4573"/>
    <s v="Sofa"/>
    <x v="1"/>
    <n v="15000"/>
    <n v="13719"/>
    <n v="45000"/>
    <n v="-31281"/>
    <n v="950000"/>
    <n v="1.4441052631578948E-2"/>
  </r>
  <r>
    <s v="O0126"/>
    <x v="17"/>
    <x v="2"/>
    <x v="0"/>
    <s v="P104"/>
    <n v="10"/>
    <n v="1558"/>
    <s v="Chair"/>
    <x v="1"/>
    <n v="2500"/>
    <n v="15580"/>
    <n v="25000"/>
    <n v="-9420"/>
    <n v="920000"/>
    <n v="1.6934782608695652E-2"/>
  </r>
  <r>
    <s v="O0127"/>
    <x v="110"/>
    <x v="3"/>
    <x v="5"/>
    <s v="P102"/>
    <n v="6"/>
    <n v="4183"/>
    <s v="Mobile"/>
    <x v="0"/>
    <n v="18000"/>
    <n v="25098"/>
    <n v="108000"/>
    <n v="-82902"/>
    <n v="900000"/>
    <n v="2.7886666666666667E-2"/>
  </r>
  <r>
    <s v="O0128"/>
    <x v="111"/>
    <x v="3"/>
    <x v="0"/>
    <s v="P107"/>
    <n v="4"/>
    <n v="3067"/>
    <s v="Jacket"/>
    <x v="2"/>
    <n v="1500"/>
    <n v="12268"/>
    <n v="6000"/>
    <n v="6268"/>
    <n v="920000"/>
    <n v="1.3334782608695653E-2"/>
  </r>
  <r>
    <s v="O0129"/>
    <x v="112"/>
    <x v="2"/>
    <x v="6"/>
    <s v="P103"/>
    <n v="6"/>
    <n v="3160"/>
    <s v="Headphones"/>
    <x v="0"/>
    <n v="2000"/>
    <n v="18960"/>
    <n v="12000"/>
    <n v="6960"/>
    <n v="890000"/>
    <n v="2.1303370786516854E-2"/>
  </r>
  <r>
    <s v="O0130"/>
    <x v="113"/>
    <x v="1"/>
    <x v="1"/>
    <s v="P107"/>
    <n v="12"/>
    <n v="1681"/>
    <s v="Jacket"/>
    <x v="2"/>
    <n v="1500"/>
    <n v="20172"/>
    <n v="18000"/>
    <n v="2172"/>
    <n v="880000"/>
    <n v="2.2922727272727272E-2"/>
  </r>
  <r>
    <s v="O0131"/>
    <x v="57"/>
    <x v="0"/>
    <x v="7"/>
    <s v="P101"/>
    <n v="9"/>
    <n v="5426"/>
    <s v="Laptop"/>
    <x v="0"/>
    <n v="35000"/>
    <n v="48834"/>
    <n v="315000"/>
    <n v="-266166"/>
    <n v="870000"/>
    <n v="5.6131034482758621E-2"/>
  </r>
  <r>
    <s v="O0132"/>
    <x v="114"/>
    <x v="3"/>
    <x v="4"/>
    <s v="P104"/>
    <n v="4"/>
    <n v="7979"/>
    <s v="Chair"/>
    <x v="1"/>
    <n v="2500"/>
    <n v="31916"/>
    <n v="10000"/>
    <n v="21916"/>
    <n v="850000"/>
    <n v="3.7548235294117646E-2"/>
  </r>
  <r>
    <s v="O0133"/>
    <x v="8"/>
    <x v="2"/>
    <x v="5"/>
    <s v="P108"/>
    <n v="12"/>
    <n v="7775"/>
    <s v="Shoes"/>
    <x v="2"/>
    <n v="2000"/>
    <n v="93300"/>
    <n v="24000"/>
    <n v="69300"/>
    <n v="900000"/>
    <n v="0.10366666666666667"/>
  </r>
  <r>
    <s v="O0134"/>
    <x v="115"/>
    <x v="0"/>
    <x v="0"/>
    <s v="P103"/>
    <n v="13"/>
    <n v="4213"/>
    <s v="Headphones"/>
    <x v="0"/>
    <n v="2000"/>
    <n v="54769"/>
    <n v="26000"/>
    <n v="28769"/>
    <n v="920000"/>
    <n v="5.9531521739130434E-2"/>
  </r>
  <r>
    <s v="O0135"/>
    <x v="116"/>
    <x v="3"/>
    <x v="2"/>
    <s v="P102"/>
    <n v="11"/>
    <n v="3205"/>
    <s v="Mobile"/>
    <x v="0"/>
    <n v="18000"/>
    <n v="35255"/>
    <n v="198000"/>
    <n v="-162745"/>
    <n v="950000"/>
    <n v="3.7110526315789476E-2"/>
  </r>
  <r>
    <s v="O0136"/>
    <x v="117"/>
    <x v="2"/>
    <x v="4"/>
    <s v="P106"/>
    <n v="10"/>
    <n v="7144"/>
    <s v="Sofa"/>
    <x v="1"/>
    <n v="15000"/>
    <n v="71440"/>
    <n v="150000"/>
    <n v="-78560"/>
    <n v="850000"/>
    <n v="8.4047058823529405E-2"/>
  </r>
  <r>
    <s v="O0137"/>
    <x v="118"/>
    <x v="3"/>
    <x v="5"/>
    <s v="P101"/>
    <n v="4"/>
    <n v="2084"/>
    <s v="Laptop"/>
    <x v="0"/>
    <n v="35000"/>
    <n v="8336"/>
    <n v="140000"/>
    <n v="-131664"/>
    <n v="900000"/>
    <n v="9.262222222222222E-3"/>
  </r>
  <r>
    <s v="O0138"/>
    <x v="119"/>
    <x v="3"/>
    <x v="6"/>
    <s v="P102"/>
    <n v="5"/>
    <n v="7039"/>
    <s v="Mobile"/>
    <x v="0"/>
    <n v="18000"/>
    <n v="35195"/>
    <n v="90000"/>
    <n v="-54805"/>
    <n v="890000"/>
    <n v="3.9544943820224721E-2"/>
  </r>
  <r>
    <s v="O0139"/>
    <x v="120"/>
    <x v="1"/>
    <x v="5"/>
    <s v="P108"/>
    <n v="10"/>
    <n v="5579"/>
    <s v="Shoes"/>
    <x v="2"/>
    <n v="2000"/>
    <n v="55790"/>
    <n v="20000"/>
    <n v="35790"/>
    <n v="900000"/>
    <n v="6.1988888888888892E-2"/>
  </r>
  <r>
    <s v="O0140"/>
    <x v="74"/>
    <x v="1"/>
    <x v="6"/>
    <s v="P101"/>
    <n v="7"/>
    <n v="4465"/>
    <s v="Laptop"/>
    <x v="0"/>
    <n v="35000"/>
    <n v="31255"/>
    <n v="245000"/>
    <n v="-213745"/>
    <n v="890000"/>
    <n v="3.5117977528089886E-2"/>
  </r>
  <r>
    <s v="O0141"/>
    <x v="121"/>
    <x v="2"/>
    <x v="6"/>
    <s v="P106"/>
    <n v="14"/>
    <n v="5674"/>
    <s v="Sofa"/>
    <x v="1"/>
    <n v="15000"/>
    <n v="79436"/>
    <n v="210000"/>
    <n v="-130564"/>
    <n v="890000"/>
    <n v="8.9253932584269668E-2"/>
  </r>
  <r>
    <s v="O0142"/>
    <x v="122"/>
    <x v="3"/>
    <x v="6"/>
    <s v="P107"/>
    <n v="8"/>
    <n v="2360"/>
    <s v="Jacket"/>
    <x v="2"/>
    <n v="1500"/>
    <n v="18880"/>
    <n v="12000"/>
    <n v="6880"/>
    <n v="890000"/>
    <n v="2.1213483146067417E-2"/>
  </r>
  <r>
    <s v="O0143"/>
    <x v="123"/>
    <x v="0"/>
    <x v="3"/>
    <s v="P103"/>
    <n v="15"/>
    <n v="1333"/>
    <s v="Headphones"/>
    <x v="0"/>
    <n v="2000"/>
    <n v="19995"/>
    <n v="30000"/>
    <n v="-10005"/>
    <n v="800000"/>
    <n v="2.4993749999999999E-2"/>
  </r>
  <r>
    <s v="O0144"/>
    <x v="124"/>
    <x v="0"/>
    <x v="7"/>
    <s v="P106"/>
    <n v="15"/>
    <n v="1441"/>
    <s v="Sofa"/>
    <x v="1"/>
    <n v="15000"/>
    <n v="21615"/>
    <n v="225000"/>
    <n v="-203385"/>
    <n v="870000"/>
    <n v="2.4844827586206895E-2"/>
  </r>
  <r>
    <s v="O0145"/>
    <x v="124"/>
    <x v="2"/>
    <x v="4"/>
    <s v="P101"/>
    <n v="15"/>
    <n v="7149"/>
    <s v="Laptop"/>
    <x v="0"/>
    <n v="35000"/>
    <n v="107235"/>
    <n v="525000"/>
    <n v="-417765"/>
    <n v="850000"/>
    <n v="0.12615882352941177"/>
  </r>
  <r>
    <s v="O0146"/>
    <x v="125"/>
    <x v="0"/>
    <x v="7"/>
    <s v="P102"/>
    <n v="2"/>
    <n v="2086"/>
    <s v="Mobile"/>
    <x v="0"/>
    <n v="18000"/>
    <n v="4172"/>
    <n v="36000"/>
    <n v="-31828"/>
    <n v="870000"/>
    <n v="4.7954022988505743E-3"/>
  </r>
  <r>
    <s v="O0147"/>
    <x v="122"/>
    <x v="1"/>
    <x v="3"/>
    <s v="P104"/>
    <n v="7"/>
    <n v="5880"/>
    <s v="Chair"/>
    <x v="1"/>
    <n v="2500"/>
    <n v="41160"/>
    <n v="17500"/>
    <n v="23660"/>
    <n v="800000"/>
    <n v="5.1450000000000003E-2"/>
  </r>
  <r>
    <s v="O0148"/>
    <x v="7"/>
    <x v="0"/>
    <x v="5"/>
    <s v="P108"/>
    <n v="11"/>
    <n v="3002"/>
    <s v="Shoes"/>
    <x v="2"/>
    <n v="2000"/>
    <n v="33022"/>
    <n v="22000"/>
    <n v="11022"/>
    <n v="900000"/>
    <n v="3.6691111111111112E-2"/>
  </r>
  <r>
    <s v="O0149"/>
    <x v="126"/>
    <x v="3"/>
    <x v="0"/>
    <s v="P101"/>
    <n v="2"/>
    <n v="6547"/>
    <s v="Laptop"/>
    <x v="0"/>
    <n v="35000"/>
    <n v="13094"/>
    <n v="70000"/>
    <n v="-56906"/>
    <n v="920000"/>
    <n v="1.4232608695652174E-2"/>
  </r>
  <r>
    <s v="O0150"/>
    <x v="127"/>
    <x v="1"/>
    <x v="1"/>
    <s v="P104"/>
    <n v="14"/>
    <n v="7299"/>
    <s v="Chair"/>
    <x v="1"/>
    <n v="2500"/>
    <n v="102186"/>
    <n v="35000"/>
    <n v="67186"/>
    <n v="880000"/>
    <n v="0.11612045454545454"/>
  </r>
  <r>
    <s v="O0151"/>
    <x v="128"/>
    <x v="1"/>
    <x v="4"/>
    <s v="P102"/>
    <n v="10"/>
    <n v="957"/>
    <s v="Mobile"/>
    <x v="0"/>
    <n v="18000"/>
    <n v="9570"/>
    <n v="180000"/>
    <n v="-170430"/>
    <n v="850000"/>
    <n v="1.1258823529411766E-2"/>
  </r>
  <r>
    <s v="O0152"/>
    <x v="46"/>
    <x v="1"/>
    <x v="4"/>
    <s v="P102"/>
    <n v="13"/>
    <n v="4758"/>
    <s v="Mobile"/>
    <x v="0"/>
    <n v="18000"/>
    <n v="61854"/>
    <n v="234000"/>
    <n v="-172146"/>
    <n v="850000"/>
    <n v="7.2769411764705888E-2"/>
  </r>
  <r>
    <s v="O0153"/>
    <x v="10"/>
    <x v="0"/>
    <x v="6"/>
    <s v="P107"/>
    <n v="6"/>
    <n v="7562"/>
    <s v="Jacket"/>
    <x v="2"/>
    <n v="1500"/>
    <n v="45372"/>
    <n v="9000"/>
    <n v="36372"/>
    <n v="890000"/>
    <n v="5.0979775280898879E-2"/>
  </r>
  <r>
    <s v="O0154"/>
    <x v="108"/>
    <x v="2"/>
    <x v="6"/>
    <s v="P101"/>
    <n v="13"/>
    <n v="2478"/>
    <s v="Laptop"/>
    <x v="0"/>
    <n v="35000"/>
    <n v="32214"/>
    <n v="455000"/>
    <n v="-422786"/>
    <n v="890000"/>
    <n v="3.6195505617977526E-2"/>
  </r>
  <r>
    <s v="O0155"/>
    <x v="129"/>
    <x v="1"/>
    <x v="0"/>
    <s v="P101"/>
    <n v="10"/>
    <n v="4064"/>
    <s v="Laptop"/>
    <x v="0"/>
    <n v="35000"/>
    <n v="40640"/>
    <n v="350000"/>
    <n v="-309360"/>
    <n v="920000"/>
    <n v="4.4173913043478258E-2"/>
  </r>
  <r>
    <s v="O0156"/>
    <x v="130"/>
    <x v="2"/>
    <x v="4"/>
    <s v="P108"/>
    <n v="10"/>
    <n v="1826"/>
    <s v="Shoes"/>
    <x v="2"/>
    <n v="2000"/>
    <n v="18260"/>
    <n v="20000"/>
    <n v="-1740"/>
    <n v="850000"/>
    <n v="2.148235294117647E-2"/>
  </r>
  <r>
    <s v="O0157"/>
    <x v="131"/>
    <x v="1"/>
    <x v="2"/>
    <s v="P106"/>
    <n v="14"/>
    <n v="1189"/>
    <s v="Sofa"/>
    <x v="1"/>
    <n v="15000"/>
    <n v="16646"/>
    <n v="210000"/>
    <n v="-193354"/>
    <n v="950000"/>
    <n v="1.7522105263157894E-2"/>
  </r>
  <r>
    <s v="O0158"/>
    <x v="21"/>
    <x v="2"/>
    <x v="5"/>
    <s v="P102"/>
    <n v="10"/>
    <n v="4603"/>
    <s v="Mobile"/>
    <x v="0"/>
    <n v="18000"/>
    <n v="46030"/>
    <n v="180000"/>
    <n v="-133970"/>
    <n v="900000"/>
    <n v="5.1144444444444444E-2"/>
  </r>
  <r>
    <s v="O0159"/>
    <x v="132"/>
    <x v="0"/>
    <x v="7"/>
    <s v="P104"/>
    <n v="5"/>
    <n v="1755"/>
    <s v="Chair"/>
    <x v="1"/>
    <n v="2500"/>
    <n v="8775"/>
    <n v="12500"/>
    <n v="-3725"/>
    <n v="870000"/>
    <n v="1.0086206896551724E-2"/>
  </r>
  <r>
    <s v="O0160"/>
    <x v="133"/>
    <x v="0"/>
    <x v="7"/>
    <s v="P106"/>
    <n v="7"/>
    <n v="1500"/>
    <s v="Sofa"/>
    <x v="1"/>
    <n v="15000"/>
    <n v="10500"/>
    <n v="105000"/>
    <n v="-94500"/>
    <n v="870000"/>
    <n v="1.2068965517241379E-2"/>
  </r>
  <r>
    <s v="O0161"/>
    <x v="26"/>
    <x v="1"/>
    <x v="0"/>
    <s v="P103"/>
    <n v="15"/>
    <n v="6118"/>
    <s v="Headphones"/>
    <x v="0"/>
    <n v="2000"/>
    <n v="91770"/>
    <n v="30000"/>
    <n v="61770"/>
    <n v="920000"/>
    <n v="9.9750000000000005E-2"/>
  </r>
  <r>
    <s v="O0162"/>
    <x v="134"/>
    <x v="3"/>
    <x v="6"/>
    <s v="P103"/>
    <n v="4"/>
    <n v="1380"/>
    <s v="Headphones"/>
    <x v="0"/>
    <n v="2000"/>
    <n v="5520"/>
    <n v="8000"/>
    <n v="-2480"/>
    <n v="890000"/>
    <n v="6.2022471910112356E-3"/>
  </r>
  <r>
    <s v="O0163"/>
    <x v="135"/>
    <x v="1"/>
    <x v="2"/>
    <s v="P104"/>
    <n v="2"/>
    <n v="5402"/>
    <s v="Chair"/>
    <x v="1"/>
    <n v="2500"/>
    <n v="10804"/>
    <n v="5000"/>
    <n v="5804"/>
    <n v="950000"/>
    <n v="1.1372631578947369E-2"/>
  </r>
  <r>
    <s v="O0164"/>
    <x v="136"/>
    <x v="0"/>
    <x v="3"/>
    <s v="P107"/>
    <n v="6"/>
    <n v="1421"/>
    <s v="Jacket"/>
    <x v="2"/>
    <n v="1500"/>
    <n v="8526"/>
    <n v="9000"/>
    <n v="-474"/>
    <n v="800000"/>
    <n v="1.06575E-2"/>
  </r>
  <r>
    <s v="O0165"/>
    <x v="137"/>
    <x v="2"/>
    <x v="2"/>
    <s v="P108"/>
    <n v="6"/>
    <n v="3760"/>
    <s v="Shoes"/>
    <x v="2"/>
    <n v="2000"/>
    <n v="22560"/>
    <n v="12000"/>
    <n v="10560"/>
    <n v="950000"/>
    <n v="2.3747368421052632E-2"/>
  </r>
  <r>
    <s v="O0166"/>
    <x v="138"/>
    <x v="1"/>
    <x v="7"/>
    <s v="P106"/>
    <n v="9"/>
    <n v="2883"/>
    <s v="Sofa"/>
    <x v="1"/>
    <n v="15000"/>
    <n v="25947"/>
    <n v="135000"/>
    <n v="-109053"/>
    <n v="870000"/>
    <n v="2.9824137931034483E-2"/>
  </r>
  <r>
    <s v="O0167"/>
    <x v="139"/>
    <x v="2"/>
    <x v="2"/>
    <s v="P106"/>
    <n v="13"/>
    <n v="2772"/>
    <s v="Sofa"/>
    <x v="1"/>
    <n v="15000"/>
    <n v="36036"/>
    <n v="195000"/>
    <n v="-158964"/>
    <n v="950000"/>
    <n v="3.7932631578947371E-2"/>
  </r>
  <r>
    <s v="O0168"/>
    <x v="140"/>
    <x v="1"/>
    <x v="5"/>
    <s v="P103"/>
    <n v="13"/>
    <n v="1797"/>
    <s v="Headphones"/>
    <x v="0"/>
    <n v="2000"/>
    <n v="23361"/>
    <n v="26000"/>
    <n v="-2639"/>
    <n v="900000"/>
    <n v="2.5956666666666666E-2"/>
  </r>
  <r>
    <s v="O0169"/>
    <x v="68"/>
    <x v="3"/>
    <x v="0"/>
    <s v="P105"/>
    <n v="4"/>
    <n v="672"/>
    <s v="Table"/>
    <x v="1"/>
    <n v="7000"/>
    <n v="2688"/>
    <n v="28000"/>
    <n v="-25312"/>
    <n v="920000"/>
    <n v="2.9217391304347828E-3"/>
  </r>
  <r>
    <s v="O0170"/>
    <x v="141"/>
    <x v="2"/>
    <x v="2"/>
    <s v="P104"/>
    <n v="12"/>
    <n v="2262"/>
    <s v="Chair"/>
    <x v="1"/>
    <n v="2500"/>
    <n v="27144"/>
    <n v="30000"/>
    <n v="-2856"/>
    <n v="950000"/>
    <n v="2.8572631578947367E-2"/>
  </r>
  <r>
    <s v="O0171"/>
    <x v="95"/>
    <x v="1"/>
    <x v="5"/>
    <s v="P104"/>
    <n v="8"/>
    <n v="4164"/>
    <s v="Chair"/>
    <x v="1"/>
    <n v="2500"/>
    <n v="33312"/>
    <n v="20000"/>
    <n v="13312"/>
    <n v="900000"/>
    <n v="3.7013333333333336E-2"/>
  </r>
  <r>
    <s v="O0172"/>
    <x v="142"/>
    <x v="0"/>
    <x v="6"/>
    <s v="P102"/>
    <n v="2"/>
    <n v="3017"/>
    <s v="Mobile"/>
    <x v="0"/>
    <n v="18000"/>
    <n v="6034"/>
    <n v="36000"/>
    <n v="-29966"/>
    <n v="890000"/>
    <n v="6.7797752808988762E-3"/>
  </r>
  <r>
    <s v="O0173"/>
    <x v="143"/>
    <x v="0"/>
    <x v="4"/>
    <s v="P106"/>
    <n v="4"/>
    <n v="7487"/>
    <s v="Sofa"/>
    <x v="1"/>
    <n v="15000"/>
    <n v="29948"/>
    <n v="60000"/>
    <n v="-30052"/>
    <n v="850000"/>
    <n v="3.5232941176470585E-2"/>
  </r>
  <r>
    <s v="O0174"/>
    <x v="144"/>
    <x v="1"/>
    <x v="4"/>
    <s v="P104"/>
    <n v="3"/>
    <n v="4358"/>
    <s v="Chair"/>
    <x v="1"/>
    <n v="2500"/>
    <n v="13074"/>
    <n v="7500"/>
    <n v="5574"/>
    <n v="850000"/>
    <n v="1.5381176470588235E-2"/>
  </r>
  <r>
    <s v="O0175"/>
    <x v="145"/>
    <x v="3"/>
    <x v="6"/>
    <s v="P103"/>
    <n v="5"/>
    <n v="4048"/>
    <s v="Headphones"/>
    <x v="0"/>
    <n v="2000"/>
    <n v="20240"/>
    <n v="10000"/>
    <n v="10240"/>
    <n v="890000"/>
    <n v="2.2741573033707864E-2"/>
  </r>
  <r>
    <s v="O0176"/>
    <x v="146"/>
    <x v="1"/>
    <x v="6"/>
    <s v="P101"/>
    <n v="15"/>
    <n v="6588"/>
    <s v="Laptop"/>
    <x v="0"/>
    <n v="35000"/>
    <n v="98820"/>
    <n v="525000"/>
    <n v="-426180"/>
    <n v="890000"/>
    <n v="0.11103370786516854"/>
  </r>
  <r>
    <s v="O0177"/>
    <x v="147"/>
    <x v="2"/>
    <x v="6"/>
    <s v="P103"/>
    <n v="10"/>
    <n v="2739"/>
    <s v="Headphones"/>
    <x v="0"/>
    <n v="2000"/>
    <n v="27390"/>
    <n v="20000"/>
    <n v="7390"/>
    <n v="890000"/>
    <n v="3.0775280898876406E-2"/>
  </r>
  <r>
    <s v="O0178"/>
    <x v="39"/>
    <x v="3"/>
    <x v="1"/>
    <s v="P101"/>
    <n v="13"/>
    <n v="3044"/>
    <s v="Laptop"/>
    <x v="0"/>
    <n v="35000"/>
    <n v="39572"/>
    <n v="455000"/>
    <n v="-415428"/>
    <n v="880000"/>
    <n v="4.4968181818181817E-2"/>
  </r>
  <r>
    <s v="O0179"/>
    <x v="148"/>
    <x v="1"/>
    <x v="6"/>
    <s v="P106"/>
    <n v="9"/>
    <n v="3321"/>
    <s v="Sofa"/>
    <x v="1"/>
    <n v="15000"/>
    <n v="29889"/>
    <n v="135000"/>
    <n v="-105111"/>
    <n v="890000"/>
    <n v="3.3583146067415727E-2"/>
  </r>
  <r>
    <s v="O0180"/>
    <x v="19"/>
    <x v="0"/>
    <x v="0"/>
    <s v="P105"/>
    <n v="6"/>
    <n v="5079"/>
    <s v="Table"/>
    <x v="1"/>
    <n v="7000"/>
    <n v="30474"/>
    <n v="42000"/>
    <n v="-11526"/>
    <n v="920000"/>
    <n v="3.3123913043478261E-2"/>
  </r>
  <r>
    <s v="O0181"/>
    <x v="149"/>
    <x v="0"/>
    <x v="6"/>
    <s v="P107"/>
    <n v="5"/>
    <n v="6198"/>
    <s v="Jacket"/>
    <x v="2"/>
    <n v="1500"/>
    <n v="30990"/>
    <n v="7500"/>
    <n v="23490"/>
    <n v="890000"/>
    <n v="3.4820224719101123E-2"/>
  </r>
  <r>
    <s v="O0182"/>
    <x v="150"/>
    <x v="3"/>
    <x v="4"/>
    <s v="P101"/>
    <n v="14"/>
    <n v="3298"/>
    <s v="Laptop"/>
    <x v="0"/>
    <n v="35000"/>
    <n v="46172"/>
    <n v="490000"/>
    <n v="-443828"/>
    <n v="850000"/>
    <n v="5.432E-2"/>
  </r>
  <r>
    <s v="O0183"/>
    <x v="151"/>
    <x v="0"/>
    <x v="7"/>
    <s v="P102"/>
    <n v="7"/>
    <n v="5745"/>
    <s v="Mobile"/>
    <x v="0"/>
    <n v="18000"/>
    <n v="40215"/>
    <n v="126000"/>
    <n v="-85785"/>
    <n v="870000"/>
    <n v="4.6224137931034484E-2"/>
  </r>
  <r>
    <s v="O0184"/>
    <x v="85"/>
    <x v="2"/>
    <x v="4"/>
    <s v="P108"/>
    <n v="10"/>
    <n v="1524"/>
    <s v="Shoes"/>
    <x v="2"/>
    <n v="2000"/>
    <n v="15240"/>
    <n v="20000"/>
    <n v="-4760"/>
    <n v="850000"/>
    <n v="1.7929411764705881E-2"/>
  </r>
  <r>
    <s v="O0185"/>
    <x v="152"/>
    <x v="1"/>
    <x v="4"/>
    <s v="P107"/>
    <n v="8"/>
    <n v="7205"/>
    <s v="Jacket"/>
    <x v="2"/>
    <n v="1500"/>
    <n v="57640"/>
    <n v="12000"/>
    <n v="45640"/>
    <n v="850000"/>
    <n v="6.7811764705882349E-2"/>
  </r>
  <r>
    <s v="O0186"/>
    <x v="153"/>
    <x v="0"/>
    <x v="4"/>
    <s v="P104"/>
    <n v="14"/>
    <n v="3804"/>
    <s v="Chair"/>
    <x v="1"/>
    <n v="2500"/>
    <n v="53256"/>
    <n v="35000"/>
    <n v="18256"/>
    <n v="850000"/>
    <n v="6.2654117647058818E-2"/>
  </r>
  <r>
    <s v="O0187"/>
    <x v="154"/>
    <x v="0"/>
    <x v="0"/>
    <s v="P103"/>
    <n v="13"/>
    <n v="5721"/>
    <s v="Headphones"/>
    <x v="0"/>
    <n v="2000"/>
    <n v="74373"/>
    <n v="26000"/>
    <n v="48373"/>
    <n v="920000"/>
    <n v="8.0840217391304342E-2"/>
  </r>
  <r>
    <s v="O0188"/>
    <x v="125"/>
    <x v="2"/>
    <x v="1"/>
    <s v="P107"/>
    <n v="3"/>
    <n v="1436"/>
    <s v="Jacket"/>
    <x v="2"/>
    <n v="1500"/>
    <n v="4308"/>
    <n v="4500"/>
    <n v="-192"/>
    <n v="880000"/>
    <n v="4.8954545454545457E-3"/>
  </r>
  <r>
    <s v="O0189"/>
    <x v="155"/>
    <x v="0"/>
    <x v="4"/>
    <s v="P108"/>
    <n v="15"/>
    <n v="3758"/>
    <s v="Shoes"/>
    <x v="2"/>
    <n v="2000"/>
    <n v="56370"/>
    <n v="30000"/>
    <n v="26370"/>
    <n v="850000"/>
    <n v="6.6317647058823523E-2"/>
  </r>
  <r>
    <s v="O0190"/>
    <x v="45"/>
    <x v="1"/>
    <x v="7"/>
    <s v="P101"/>
    <n v="14"/>
    <n v="5919"/>
    <s v="Laptop"/>
    <x v="0"/>
    <n v="35000"/>
    <n v="82866"/>
    <n v="490000"/>
    <n v="-407134"/>
    <n v="870000"/>
    <n v="9.5248275862068965E-2"/>
  </r>
  <r>
    <s v="O0191"/>
    <x v="105"/>
    <x v="2"/>
    <x v="6"/>
    <s v="P105"/>
    <n v="1"/>
    <n v="2065"/>
    <s v="Table"/>
    <x v="1"/>
    <n v="7000"/>
    <n v="2065"/>
    <n v="7000"/>
    <n v="-4935"/>
    <n v="890000"/>
    <n v="2.3202247191011238E-3"/>
  </r>
  <r>
    <s v="O0192"/>
    <x v="156"/>
    <x v="0"/>
    <x v="0"/>
    <s v="P105"/>
    <n v="12"/>
    <n v="1039"/>
    <s v="Table"/>
    <x v="1"/>
    <n v="7000"/>
    <n v="12468"/>
    <n v="84000"/>
    <n v="-71532"/>
    <n v="920000"/>
    <n v="1.3552173913043478E-2"/>
  </r>
  <r>
    <s v="O0193"/>
    <x v="19"/>
    <x v="1"/>
    <x v="7"/>
    <s v="P103"/>
    <n v="12"/>
    <n v="5255"/>
    <s v="Headphones"/>
    <x v="0"/>
    <n v="2000"/>
    <n v="63060"/>
    <n v="24000"/>
    <n v="39060"/>
    <n v="870000"/>
    <n v="7.2482758620689661E-2"/>
  </r>
  <r>
    <s v="O0194"/>
    <x v="51"/>
    <x v="1"/>
    <x v="2"/>
    <s v="P101"/>
    <n v="4"/>
    <n v="4646"/>
    <s v="Laptop"/>
    <x v="0"/>
    <n v="35000"/>
    <n v="18584"/>
    <n v="140000"/>
    <n v="-121416"/>
    <n v="950000"/>
    <n v="1.9562105263157895E-2"/>
  </r>
  <r>
    <s v="O0195"/>
    <x v="56"/>
    <x v="3"/>
    <x v="4"/>
    <s v="P102"/>
    <n v="9"/>
    <n v="5986"/>
    <s v="Mobile"/>
    <x v="0"/>
    <n v="18000"/>
    <n v="53874"/>
    <n v="162000"/>
    <n v="-108126"/>
    <n v="850000"/>
    <n v="6.3381176470588232E-2"/>
  </r>
  <r>
    <s v="O0196"/>
    <x v="157"/>
    <x v="3"/>
    <x v="2"/>
    <s v="P104"/>
    <n v="9"/>
    <n v="1828"/>
    <s v="Chair"/>
    <x v="1"/>
    <n v="2500"/>
    <n v="16452"/>
    <n v="22500"/>
    <n v="-6048"/>
    <n v="950000"/>
    <n v="1.7317894736842105E-2"/>
  </r>
  <r>
    <s v="O0197"/>
    <x v="158"/>
    <x v="3"/>
    <x v="3"/>
    <s v="P102"/>
    <n v="13"/>
    <n v="5495"/>
    <s v="Mobile"/>
    <x v="0"/>
    <n v="18000"/>
    <n v="71435"/>
    <n v="234000"/>
    <n v="-162565"/>
    <n v="800000"/>
    <n v="8.9293750000000005E-2"/>
  </r>
  <r>
    <s v="O0198"/>
    <x v="159"/>
    <x v="2"/>
    <x v="2"/>
    <s v="P104"/>
    <n v="11"/>
    <n v="5825"/>
    <s v="Chair"/>
    <x v="1"/>
    <n v="2500"/>
    <n v="64075"/>
    <n v="27500"/>
    <n v="36575"/>
    <n v="950000"/>
    <n v="6.7447368421052631E-2"/>
  </r>
  <r>
    <s v="O0199"/>
    <x v="160"/>
    <x v="2"/>
    <x v="5"/>
    <s v="P104"/>
    <n v="5"/>
    <n v="4320"/>
    <s v="Chair"/>
    <x v="1"/>
    <n v="2500"/>
    <n v="21600"/>
    <n v="12500"/>
    <n v="9100"/>
    <n v="900000"/>
    <n v="2.4E-2"/>
  </r>
  <r>
    <s v="O0200"/>
    <x v="18"/>
    <x v="0"/>
    <x v="3"/>
    <s v="P106"/>
    <n v="7"/>
    <n v="1176"/>
    <s v="Sofa"/>
    <x v="1"/>
    <n v="15000"/>
    <n v="8232"/>
    <n v="105000"/>
    <n v="-96768"/>
    <n v="800000"/>
    <n v="1.0290000000000001E-2"/>
  </r>
  <r>
    <s v="O0201"/>
    <x v="140"/>
    <x v="3"/>
    <x v="3"/>
    <s v="P101"/>
    <n v="14"/>
    <n v="2372"/>
    <s v="Laptop"/>
    <x v="0"/>
    <n v="35000"/>
    <n v="33208"/>
    <n v="490000"/>
    <n v="-456792"/>
    <n v="800000"/>
    <n v="4.1509999999999998E-2"/>
  </r>
  <r>
    <s v="O0202"/>
    <x v="161"/>
    <x v="0"/>
    <x v="3"/>
    <s v="P106"/>
    <n v="4"/>
    <n v="5122"/>
    <s v="Sofa"/>
    <x v="1"/>
    <n v="15000"/>
    <n v="20488"/>
    <n v="60000"/>
    <n v="-39512"/>
    <n v="800000"/>
    <n v="2.5610000000000001E-2"/>
  </r>
  <r>
    <s v="O0203"/>
    <x v="41"/>
    <x v="0"/>
    <x v="5"/>
    <s v="P107"/>
    <n v="6"/>
    <n v="3167"/>
    <s v="Jacket"/>
    <x v="2"/>
    <n v="1500"/>
    <n v="19002"/>
    <n v="9000"/>
    <n v="10002"/>
    <n v="900000"/>
    <n v="2.1113333333333335E-2"/>
  </r>
  <r>
    <s v="O0204"/>
    <x v="152"/>
    <x v="0"/>
    <x v="5"/>
    <s v="P102"/>
    <n v="15"/>
    <n v="5303"/>
    <s v="Mobile"/>
    <x v="0"/>
    <n v="18000"/>
    <n v="79545"/>
    <n v="270000"/>
    <n v="-190455"/>
    <n v="900000"/>
    <n v="8.8383333333333328E-2"/>
  </r>
  <r>
    <s v="O0205"/>
    <x v="162"/>
    <x v="3"/>
    <x v="6"/>
    <s v="P101"/>
    <n v="4"/>
    <n v="1673"/>
    <s v="Laptop"/>
    <x v="0"/>
    <n v="35000"/>
    <n v="6692"/>
    <n v="140000"/>
    <n v="-133308"/>
    <n v="890000"/>
    <n v="7.5191011235955056E-3"/>
  </r>
  <r>
    <s v="O0206"/>
    <x v="40"/>
    <x v="0"/>
    <x v="6"/>
    <s v="P103"/>
    <n v="8"/>
    <n v="1735"/>
    <s v="Headphones"/>
    <x v="0"/>
    <n v="2000"/>
    <n v="13880"/>
    <n v="16000"/>
    <n v="-2120"/>
    <n v="890000"/>
    <n v="1.5595505617977528E-2"/>
  </r>
  <r>
    <s v="O0207"/>
    <x v="163"/>
    <x v="3"/>
    <x v="1"/>
    <s v="P108"/>
    <n v="1"/>
    <n v="3511"/>
    <s v="Shoes"/>
    <x v="2"/>
    <n v="2000"/>
    <n v="3511"/>
    <n v="2000"/>
    <n v="1511"/>
    <n v="880000"/>
    <n v="3.9897727272727272E-3"/>
  </r>
  <r>
    <s v="O0208"/>
    <x v="164"/>
    <x v="2"/>
    <x v="7"/>
    <s v="P106"/>
    <n v="5"/>
    <n v="6358"/>
    <s v="Sofa"/>
    <x v="1"/>
    <n v="15000"/>
    <n v="31790"/>
    <n v="75000"/>
    <n v="-43210"/>
    <n v="870000"/>
    <n v="3.6540229885057472E-2"/>
  </r>
  <r>
    <s v="O0209"/>
    <x v="25"/>
    <x v="1"/>
    <x v="0"/>
    <s v="P102"/>
    <n v="10"/>
    <n v="3750"/>
    <s v="Mobile"/>
    <x v="0"/>
    <n v="18000"/>
    <n v="37500"/>
    <n v="180000"/>
    <n v="-142500"/>
    <n v="920000"/>
    <n v="4.0760869565217392E-2"/>
  </r>
  <r>
    <s v="O0210"/>
    <x v="165"/>
    <x v="1"/>
    <x v="0"/>
    <s v="P104"/>
    <n v="3"/>
    <n v="1035"/>
    <s v="Chair"/>
    <x v="1"/>
    <n v="2500"/>
    <n v="3105"/>
    <n v="7500"/>
    <n v="-4395"/>
    <n v="920000"/>
    <n v="3.375E-3"/>
  </r>
  <r>
    <s v="O0211"/>
    <x v="166"/>
    <x v="1"/>
    <x v="6"/>
    <s v="P108"/>
    <n v="7"/>
    <n v="5622"/>
    <s v="Shoes"/>
    <x v="2"/>
    <n v="2000"/>
    <n v="39354"/>
    <n v="14000"/>
    <n v="25354"/>
    <n v="890000"/>
    <n v="4.421797752808989E-2"/>
  </r>
  <r>
    <s v="O0212"/>
    <x v="167"/>
    <x v="1"/>
    <x v="2"/>
    <s v="P104"/>
    <n v="11"/>
    <n v="1177"/>
    <s v="Chair"/>
    <x v="1"/>
    <n v="2500"/>
    <n v="12947"/>
    <n v="27500"/>
    <n v="-14553"/>
    <n v="950000"/>
    <n v="1.362842105263158E-2"/>
  </r>
  <r>
    <s v="O0213"/>
    <x v="145"/>
    <x v="0"/>
    <x v="1"/>
    <s v="P107"/>
    <n v="7"/>
    <n v="6825"/>
    <s v="Jacket"/>
    <x v="2"/>
    <n v="1500"/>
    <n v="47775"/>
    <n v="10500"/>
    <n v="37275"/>
    <n v="880000"/>
    <n v="5.4289772727272728E-2"/>
  </r>
  <r>
    <s v="O0214"/>
    <x v="53"/>
    <x v="1"/>
    <x v="3"/>
    <s v="P101"/>
    <n v="5"/>
    <n v="3840"/>
    <s v="Laptop"/>
    <x v="0"/>
    <n v="35000"/>
    <n v="19200"/>
    <n v="175000"/>
    <n v="-155800"/>
    <n v="800000"/>
    <n v="2.4E-2"/>
  </r>
  <r>
    <s v="O0215"/>
    <x v="168"/>
    <x v="0"/>
    <x v="3"/>
    <s v="P104"/>
    <n v="4"/>
    <n v="3927"/>
    <s v="Chair"/>
    <x v="1"/>
    <n v="2500"/>
    <n v="15708"/>
    <n v="10000"/>
    <n v="5708"/>
    <n v="800000"/>
    <n v="1.9635E-2"/>
  </r>
  <r>
    <s v="O0216"/>
    <x v="169"/>
    <x v="2"/>
    <x v="4"/>
    <s v="P104"/>
    <n v="1"/>
    <n v="1748"/>
    <s v="Chair"/>
    <x v="1"/>
    <n v="2500"/>
    <n v="1748"/>
    <n v="2500"/>
    <n v="-752"/>
    <n v="850000"/>
    <n v="2.0564705882352942E-3"/>
  </r>
  <r>
    <s v="O0217"/>
    <x v="129"/>
    <x v="2"/>
    <x v="5"/>
    <s v="P105"/>
    <n v="5"/>
    <n v="635"/>
    <s v="Table"/>
    <x v="1"/>
    <n v="7000"/>
    <n v="3175"/>
    <n v="35000"/>
    <n v="-31825"/>
    <n v="900000"/>
    <n v="3.5277777777777777E-3"/>
  </r>
  <r>
    <s v="O0218"/>
    <x v="109"/>
    <x v="1"/>
    <x v="5"/>
    <s v="P104"/>
    <n v="8"/>
    <n v="852"/>
    <s v="Chair"/>
    <x v="1"/>
    <n v="2500"/>
    <n v="6816"/>
    <n v="20000"/>
    <n v="-13184"/>
    <n v="900000"/>
    <n v="7.573333333333333E-3"/>
  </r>
  <r>
    <s v="O0219"/>
    <x v="170"/>
    <x v="2"/>
    <x v="5"/>
    <s v="P108"/>
    <n v="3"/>
    <n v="1616"/>
    <s v="Shoes"/>
    <x v="2"/>
    <n v="2000"/>
    <n v="4848"/>
    <n v="6000"/>
    <n v="-1152"/>
    <n v="900000"/>
    <n v="5.3866666666666663E-3"/>
  </r>
  <r>
    <s v="O0220"/>
    <x v="171"/>
    <x v="2"/>
    <x v="5"/>
    <s v="P103"/>
    <n v="15"/>
    <n v="4955"/>
    <s v="Headphones"/>
    <x v="0"/>
    <n v="2000"/>
    <n v="74325"/>
    <n v="30000"/>
    <n v="44325"/>
    <n v="900000"/>
    <n v="8.2583333333333328E-2"/>
  </r>
  <r>
    <s v="O0221"/>
    <x v="10"/>
    <x v="3"/>
    <x v="7"/>
    <s v="P102"/>
    <n v="1"/>
    <n v="878"/>
    <s v="Mobile"/>
    <x v="0"/>
    <n v="18000"/>
    <n v="878"/>
    <n v="18000"/>
    <n v="-17122"/>
    <n v="870000"/>
    <n v="1.0091954022988505E-3"/>
  </r>
  <r>
    <s v="O0222"/>
    <x v="159"/>
    <x v="0"/>
    <x v="0"/>
    <s v="P108"/>
    <n v="5"/>
    <n v="3314"/>
    <s v="Shoes"/>
    <x v="2"/>
    <n v="2000"/>
    <n v="16570"/>
    <n v="10000"/>
    <n v="6570"/>
    <n v="920000"/>
    <n v="1.8010869565217393E-2"/>
  </r>
  <r>
    <s v="O0223"/>
    <x v="172"/>
    <x v="0"/>
    <x v="5"/>
    <s v="P106"/>
    <n v="9"/>
    <n v="3997"/>
    <s v="Sofa"/>
    <x v="1"/>
    <n v="15000"/>
    <n v="35973"/>
    <n v="135000"/>
    <n v="-99027"/>
    <n v="900000"/>
    <n v="3.9969999999999999E-2"/>
  </r>
  <r>
    <s v="O0224"/>
    <x v="114"/>
    <x v="0"/>
    <x v="0"/>
    <s v="P102"/>
    <n v="3"/>
    <n v="7489"/>
    <s v="Mobile"/>
    <x v="0"/>
    <n v="18000"/>
    <n v="22467"/>
    <n v="54000"/>
    <n v="-31533"/>
    <n v="920000"/>
    <n v="2.4420652173913045E-2"/>
  </r>
  <r>
    <s v="O0225"/>
    <x v="173"/>
    <x v="2"/>
    <x v="1"/>
    <s v="P107"/>
    <n v="15"/>
    <n v="3788"/>
    <s v="Jacket"/>
    <x v="2"/>
    <n v="1500"/>
    <n v="56820"/>
    <n v="22500"/>
    <n v="34320"/>
    <n v="880000"/>
    <n v="6.4568181818181816E-2"/>
  </r>
  <r>
    <s v="O0226"/>
    <x v="164"/>
    <x v="3"/>
    <x v="0"/>
    <s v="P106"/>
    <n v="2"/>
    <n v="3355"/>
    <s v="Sofa"/>
    <x v="1"/>
    <n v="15000"/>
    <n v="6710"/>
    <n v="30000"/>
    <n v="-23290"/>
    <n v="920000"/>
    <n v="7.2934782608695655E-3"/>
  </r>
  <r>
    <s v="O0227"/>
    <x v="174"/>
    <x v="1"/>
    <x v="1"/>
    <s v="P103"/>
    <n v="11"/>
    <n v="4069"/>
    <s v="Headphones"/>
    <x v="0"/>
    <n v="2000"/>
    <n v="44759"/>
    <n v="22000"/>
    <n v="22759"/>
    <n v="880000"/>
    <n v="5.0862499999999998E-2"/>
  </r>
  <r>
    <s v="O0228"/>
    <x v="175"/>
    <x v="2"/>
    <x v="7"/>
    <s v="P102"/>
    <n v="7"/>
    <n v="5497"/>
    <s v="Mobile"/>
    <x v="0"/>
    <n v="18000"/>
    <n v="38479"/>
    <n v="126000"/>
    <n v="-87521"/>
    <n v="870000"/>
    <n v="4.4228735632183908E-2"/>
  </r>
  <r>
    <s v="O0229"/>
    <x v="112"/>
    <x v="3"/>
    <x v="6"/>
    <s v="P105"/>
    <n v="1"/>
    <n v="7765"/>
    <s v="Table"/>
    <x v="1"/>
    <n v="7000"/>
    <n v="7765"/>
    <n v="7000"/>
    <n v="765"/>
    <n v="890000"/>
    <n v="8.7247191011235962E-3"/>
  </r>
  <r>
    <s v="O0230"/>
    <x v="104"/>
    <x v="1"/>
    <x v="1"/>
    <s v="P108"/>
    <n v="7"/>
    <n v="6133"/>
    <s v="Shoes"/>
    <x v="2"/>
    <n v="2000"/>
    <n v="42931"/>
    <n v="14000"/>
    <n v="28931"/>
    <n v="880000"/>
    <n v="4.8785227272727272E-2"/>
  </r>
  <r>
    <s v="O0231"/>
    <x v="4"/>
    <x v="0"/>
    <x v="0"/>
    <s v="P108"/>
    <n v="14"/>
    <n v="2914"/>
    <s v="Shoes"/>
    <x v="2"/>
    <n v="2000"/>
    <n v="40796"/>
    <n v="28000"/>
    <n v="12796"/>
    <n v="920000"/>
    <n v="4.4343478260869568E-2"/>
  </r>
  <r>
    <s v="O0232"/>
    <x v="176"/>
    <x v="1"/>
    <x v="7"/>
    <s v="P108"/>
    <n v="15"/>
    <n v="3597"/>
    <s v="Shoes"/>
    <x v="2"/>
    <n v="2000"/>
    <n v="53955"/>
    <n v="30000"/>
    <n v="23955"/>
    <n v="870000"/>
    <n v="6.2017241379310348E-2"/>
  </r>
  <r>
    <s v="O0233"/>
    <x v="139"/>
    <x v="0"/>
    <x v="5"/>
    <s v="P104"/>
    <n v="9"/>
    <n v="7751"/>
    <s v="Chair"/>
    <x v="1"/>
    <n v="2500"/>
    <n v="69759"/>
    <n v="22500"/>
    <n v="47259"/>
    <n v="900000"/>
    <n v="7.7509999999999996E-2"/>
  </r>
  <r>
    <s v="O0234"/>
    <x v="43"/>
    <x v="2"/>
    <x v="7"/>
    <s v="P101"/>
    <n v="15"/>
    <n v="2071"/>
    <s v="Laptop"/>
    <x v="0"/>
    <n v="35000"/>
    <n v="31065"/>
    <n v="525000"/>
    <n v="-493935"/>
    <n v="870000"/>
    <n v="3.570689655172414E-2"/>
  </r>
  <r>
    <s v="O0235"/>
    <x v="82"/>
    <x v="2"/>
    <x v="1"/>
    <s v="P104"/>
    <n v="15"/>
    <n v="1096"/>
    <s v="Chair"/>
    <x v="1"/>
    <n v="2500"/>
    <n v="16440"/>
    <n v="37500"/>
    <n v="-21060"/>
    <n v="880000"/>
    <n v="1.8681818181818181E-2"/>
  </r>
  <r>
    <s v="O0236"/>
    <x v="36"/>
    <x v="3"/>
    <x v="3"/>
    <s v="P106"/>
    <n v="7"/>
    <n v="6327"/>
    <s v="Sofa"/>
    <x v="1"/>
    <n v="15000"/>
    <n v="44289"/>
    <n v="105000"/>
    <n v="-60711"/>
    <n v="800000"/>
    <n v="5.5361250000000001E-2"/>
  </r>
  <r>
    <s v="O0237"/>
    <x v="177"/>
    <x v="2"/>
    <x v="3"/>
    <s v="P107"/>
    <n v="14"/>
    <n v="3345"/>
    <s v="Jacket"/>
    <x v="2"/>
    <n v="1500"/>
    <n v="46830"/>
    <n v="21000"/>
    <n v="25830"/>
    <n v="800000"/>
    <n v="5.8537499999999999E-2"/>
  </r>
  <r>
    <s v="O0238"/>
    <x v="178"/>
    <x v="3"/>
    <x v="5"/>
    <s v="P102"/>
    <n v="2"/>
    <n v="1328"/>
    <s v="Mobile"/>
    <x v="0"/>
    <n v="18000"/>
    <n v="2656"/>
    <n v="36000"/>
    <n v="-33344"/>
    <n v="900000"/>
    <n v="2.9511111111111109E-3"/>
  </r>
  <r>
    <s v="O0239"/>
    <x v="141"/>
    <x v="1"/>
    <x v="6"/>
    <s v="P103"/>
    <n v="5"/>
    <n v="6383"/>
    <s v="Headphones"/>
    <x v="0"/>
    <n v="2000"/>
    <n v="31915"/>
    <n v="10000"/>
    <n v="21915"/>
    <n v="890000"/>
    <n v="3.5859550561797751E-2"/>
  </r>
  <r>
    <s v="O0240"/>
    <x v="170"/>
    <x v="3"/>
    <x v="3"/>
    <s v="P102"/>
    <n v="12"/>
    <n v="5729"/>
    <s v="Mobile"/>
    <x v="0"/>
    <n v="18000"/>
    <n v="68748"/>
    <n v="216000"/>
    <n v="-147252"/>
    <n v="800000"/>
    <n v="8.5934999999999997E-2"/>
  </r>
  <r>
    <s v="O0241"/>
    <x v="179"/>
    <x v="0"/>
    <x v="2"/>
    <s v="P101"/>
    <n v="3"/>
    <n v="3054"/>
    <s v="Laptop"/>
    <x v="0"/>
    <n v="35000"/>
    <n v="9162"/>
    <n v="105000"/>
    <n v="-95838"/>
    <n v="950000"/>
    <n v="9.6442105263157898E-3"/>
  </r>
  <r>
    <s v="O0242"/>
    <x v="180"/>
    <x v="1"/>
    <x v="4"/>
    <s v="P104"/>
    <n v="5"/>
    <n v="6347"/>
    <s v="Chair"/>
    <x v="1"/>
    <n v="2500"/>
    <n v="31735"/>
    <n v="12500"/>
    <n v="19235"/>
    <n v="850000"/>
    <n v="3.7335294117647057E-2"/>
  </r>
  <r>
    <s v="O0243"/>
    <x v="181"/>
    <x v="1"/>
    <x v="6"/>
    <s v="P103"/>
    <n v="8"/>
    <n v="5035"/>
    <s v="Headphones"/>
    <x v="0"/>
    <n v="2000"/>
    <n v="40280"/>
    <n v="16000"/>
    <n v="24280"/>
    <n v="890000"/>
    <n v="4.5258426966292134E-2"/>
  </r>
  <r>
    <s v="O0244"/>
    <x v="142"/>
    <x v="3"/>
    <x v="7"/>
    <s v="P103"/>
    <n v="5"/>
    <n v="2828"/>
    <s v="Headphones"/>
    <x v="0"/>
    <n v="2000"/>
    <n v="14140"/>
    <n v="10000"/>
    <n v="4140"/>
    <n v="870000"/>
    <n v="1.625287356321839E-2"/>
  </r>
  <r>
    <s v="O0245"/>
    <x v="48"/>
    <x v="1"/>
    <x v="7"/>
    <s v="P107"/>
    <n v="8"/>
    <n v="2611"/>
    <s v="Jacket"/>
    <x v="2"/>
    <n v="1500"/>
    <n v="20888"/>
    <n v="12000"/>
    <n v="8888"/>
    <n v="870000"/>
    <n v="2.4009195402298851E-2"/>
  </r>
  <r>
    <s v="O0246"/>
    <x v="182"/>
    <x v="0"/>
    <x v="5"/>
    <s v="P108"/>
    <n v="3"/>
    <n v="612"/>
    <s v="Shoes"/>
    <x v="2"/>
    <n v="2000"/>
    <n v="1836"/>
    <n v="6000"/>
    <n v="-4164"/>
    <n v="900000"/>
    <n v="2.0400000000000001E-3"/>
  </r>
  <r>
    <s v="O0247"/>
    <x v="183"/>
    <x v="0"/>
    <x v="3"/>
    <s v="P103"/>
    <n v="10"/>
    <n v="3369"/>
    <s v="Headphones"/>
    <x v="0"/>
    <n v="2000"/>
    <n v="33690"/>
    <n v="20000"/>
    <n v="13690"/>
    <n v="800000"/>
    <n v="4.2112499999999997E-2"/>
  </r>
  <r>
    <s v="O0248"/>
    <x v="112"/>
    <x v="0"/>
    <x v="3"/>
    <s v="P105"/>
    <n v="11"/>
    <n v="6631"/>
    <s v="Table"/>
    <x v="1"/>
    <n v="7000"/>
    <n v="72941"/>
    <n v="77000"/>
    <n v="-4059"/>
    <n v="800000"/>
    <n v="9.117625E-2"/>
  </r>
  <r>
    <s v="O0249"/>
    <x v="184"/>
    <x v="0"/>
    <x v="3"/>
    <s v="P101"/>
    <n v="14"/>
    <n v="5425"/>
    <s v="Laptop"/>
    <x v="0"/>
    <n v="35000"/>
    <n v="75950"/>
    <n v="490000"/>
    <n v="-414050"/>
    <n v="800000"/>
    <n v="9.4937499999999994E-2"/>
  </r>
  <r>
    <s v="O0250"/>
    <x v="185"/>
    <x v="1"/>
    <x v="0"/>
    <s v="P102"/>
    <n v="10"/>
    <n v="2248"/>
    <s v="Mobile"/>
    <x v="0"/>
    <n v="18000"/>
    <n v="22480"/>
    <n v="180000"/>
    <n v="-157520"/>
    <n v="920000"/>
    <n v="2.4434782608695652E-2"/>
  </r>
  <r>
    <s v="O0251"/>
    <x v="186"/>
    <x v="3"/>
    <x v="7"/>
    <s v="P107"/>
    <n v="4"/>
    <n v="3984"/>
    <s v="Jacket"/>
    <x v="2"/>
    <n v="1500"/>
    <n v="15936"/>
    <n v="6000"/>
    <n v="9936"/>
    <n v="870000"/>
    <n v="1.8317241379310345E-2"/>
  </r>
  <r>
    <s v="O0252"/>
    <x v="187"/>
    <x v="1"/>
    <x v="7"/>
    <s v="P103"/>
    <n v="15"/>
    <n v="7164"/>
    <s v="Headphones"/>
    <x v="0"/>
    <n v="2000"/>
    <n v="107460"/>
    <n v="30000"/>
    <n v="77460"/>
    <n v="870000"/>
    <n v="0.12351724137931035"/>
  </r>
  <r>
    <s v="O0253"/>
    <x v="188"/>
    <x v="3"/>
    <x v="7"/>
    <s v="P104"/>
    <n v="2"/>
    <n v="627"/>
    <s v="Chair"/>
    <x v="1"/>
    <n v="2500"/>
    <n v="1254"/>
    <n v="5000"/>
    <n v="-3746"/>
    <n v="870000"/>
    <n v="1.4413793103448275E-3"/>
  </r>
  <r>
    <s v="O0254"/>
    <x v="189"/>
    <x v="3"/>
    <x v="3"/>
    <s v="P102"/>
    <n v="4"/>
    <n v="3511"/>
    <s v="Mobile"/>
    <x v="0"/>
    <n v="18000"/>
    <n v="14044"/>
    <n v="72000"/>
    <n v="-57956"/>
    <n v="800000"/>
    <n v="1.7555000000000001E-2"/>
  </r>
  <r>
    <s v="O0255"/>
    <x v="181"/>
    <x v="3"/>
    <x v="3"/>
    <s v="P107"/>
    <n v="3"/>
    <n v="2689"/>
    <s v="Jacket"/>
    <x v="2"/>
    <n v="1500"/>
    <n v="8067"/>
    <n v="4500"/>
    <n v="3567"/>
    <n v="800000"/>
    <n v="1.0083750000000001E-2"/>
  </r>
  <r>
    <s v="O0256"/>
    <x v="138"/>
    <x v="1"/>
    <x v="2"/>
    <s v="P101"/>
    <n v="14"/>
    <n v="1650"/>
    <s v="Laptop"/>
    <x v="0"/>
    <n v="35000"/>
    <n v="23100"/>
    <n v="490000"/>
    <n v="-466900"/>
    <n v="950000"/>
    <n v="2.4315789473684211E-2"/>
  </r>
  <r>
    <s v="O0257"/>
    <x v="56"/>
    <x v="1"/>
    <x v="6"/>
    <s v="P102"/>
    <n v="3"/>
    <n v="4015"/>
    <s v="Mobile"/>
    <x v="0"/>
    <n v="18000"/>
    <n v="12045"/>
    <n v="54000"/>
    <n v="-41955"/>
    <n v="890000"/>
    <n v="1.353370786516854E-2"/>
  </r>
  <r>
    <s v="O0258"/>
    <x v="190"/>
    <x v="3"/>
    <x v="7"/>
    <s v="P104"/>
    <n v="8"/>
    <n v="7740"/>
    <s v="Chair"/>
    <x v="1"/>
    <n v="2500"/>
    <n v="61920"/>
    <n v="20000"/>
    <n v="41920"/>
    <n v="870000"/>
    <n v="7.1172413793103448E-2"/>
  </r>
  <r>
    <s v="O0259"/>
    <x v="191"/>
    <x v="0"/>
    <x v="0"/>
    <s v="P104"/>
    <n v="1"/>
    <n v="5019"/>
    <s v="Chair"/>
    <x v="1"/>
    <n v="2500"/>
    <n v="5019"/>
    <n v="2500"/>
    <n v="2519"/>
    <n v="920000"/>
    <n v="5.4554347826086961E-3"/>
  </r>
  <r>
    <s v="O0260"/>
    <x v="192"/>
    <x v="0"/>
    <x v="3"/>
    <s v="P108"/>
    <n v="11"/>
    <n v="3685"/>
    <s v="Shoes"/>
    <x v="2"/>
    <n v="2000"/>
    <n v="40535"/>
    <n v="22000"/>
    <n v="18535"/>
    <n v="800000"/>
    <n v="5.0668749999999999E-2"/>
  </r>
  <r>
    <s v="O0261"/>
    <x v="156"/>
    <x v="0"/>
    <x v="6"/>
    <s v="P104"/>
    <n v="4"/>
    <n v="5222"/>
    <s v="Chair"/>
    <x v="1"/>
    <n v="2500"/>
    <n v="20888"/>
    <n v="10000"/>
    <n v="10888"/>
    <n v="890000"/>
    <n v="2.3469662921348316E-2"/>
  </r>
  <r>
    <s v="O0262"/>
    <x v="193"/>
    <x v="3"/>
    <x v="3"/>
    <s v="P107"/>
    <n v="3"/>
    <n v="1812"/>
    <s v="Jacket"/>
    <x v="2"/>
    <n v="1500"/>
    <n v="5436"/>
    <n v="4500"/>
    <n v="936"/>
    <n v="800000"/>
    <n v="6.7949999999999998E-3"/>
  </r>
  <r>
    <s v="O0263"/>
    <x v="194"/>
    <x v="1"/>
    <x v="0"/>
    <s v="P102"/>
    <n v="3"/>
    <n v="5994"/>
    <s v="Mobile"/>
    <x v="0"/>
    <n v="18000"/>
    <n v="17982"/>
    <n v="54000"/>
    <n v="-36018"/>
    <n v="920000"/>
    <n v="1.9545652173913044E-2"/>
  </r>
  <r>
    <s v="O0264"/>
    <x v="123"/>
    <x v="3"/>
    <x v="0"/>
    <s v="P101"/>
    <n v="3"/>
    <n v="7707"/>
    <s v="Laptop"/>
    <x v="0"/>
    <n v="35000"/>
    <n v="23121"/>
    <n v="105000"/>
    <n v="-81879"/>
    <n v="920000"/>
    <n v="2.5131521739130434E-2"/>
  </r>
  <r>
    <s v="O0265"/>
    <x v="154"/>
    <x v="1"/>
    <x v="0"/>
    <s v="P106"/>
    <n v="8"/>
    <n v="5687"/>
    <s v="Sofa"/>
    <x v="1"/>
    <n v="15000"/>
    <n v="45496"/>
    <n v="120000"/>
    <n v="-74504"/>
    <n v="920000"/>
    <n v="4.9452173913043476E-2"/>
  </r>
  <r>
    <s v="O0266"/>
    <x v="88"/>
    <x v="0"/>
    <x v="2"/>
    <s v="P101"/>
    <n v="7"/>
    <n v="7706"/>
    <s v="Laptop"/>
    <x v="0"/>
    <n v="35000"/>
    <n v="53942"/>
    <n v="245000"/>
    <n v="-191058"/>
    <n v="950000"/>
    <n v="5.6781052631578947E-2"/>
  </r>
  <r>
    <s v="O0267"/>
    <x v="75"/>
    <x v="3"/>
    <x v="5"/>
    <s v="P107"/>
    <n v="14"/>
    <n v="3201"/>
    <s v="Jacket"/>
    <x v="2"/>
    <n v="1500"/>
    <n v="44814"/>
    <n v="21000"/>
    <n v="23814"/>
    <n v="900000"/>
    <n v="4.9793333333333335E-2"/>
  </r>
  <r>
    <s v="O0268"/>
    <x v="84"/>
    <x v="0"/>
    <x v="7"/>
    <s v="P103"/>
    <n v="11"/>
    <n v="7044"/>
    <s v="Headphones"/>
    <x v="0"/>
    <n v="2000"/>
    <n v="77484"/>
    <n v="22000"/>
    <n v="55484"/>
    <n v="870000"/>
    <n v="8.9062068965517244E-2"/>
  </r>
  <r>
    <s v="O0269"/>
    <x v="100"/>
    <x v="0"/>
    <x v="1"/>
    <s v="P105"/>
    <n v="7"/>
    <n v="2766"/>
    <s v="Table"/>
    <x v="1"/>
    <n v="7000"/>
    <n v="19362"/>
    <n v="49000"/>
    <n v="-29638"/>
    <n v="880000"/>
    <n v="2.2002272727272728E-2"/>
  </r>
  <r>
    <s v="O0270"/>
    <x v="195"/>
    <x v="2"/>
    <x v="1"/>
    <s v="P105"/>
    <n v="7"/>
    <n v="1135"/>
    <s v="Table"/>
    <x v="1"/>
    <n v="7000"/>
    <n v="7945"/>
    <n v="49000"/>
    <n v="-41055"/>
    <n v="880000"/>
    <n v="9.0284090909090904E-3"/>
  </r>
  <r>
    <s v="O0271"/>
    <x v="29"/>
    <x v="0"/>
    <x v="0"/>
    <s v="P107"/>
    <n v="9"/>
    <n v="4374"/>
    <s v="Jacket"/>
    <x v="2"/>
    <n v="1500"/>
    <n v="39366"/>
    <n v="13500"/>
    <n v="25866"/>
    <n v="920000"/>
    <n v="4.2789130434782607E-2"/>
  </r>
  <r>
    <s v="O0272"/>
    <x v="196"/>
    <x v="3"/>
    <x v="5"/>
    <s v="P108"/>
    <n v="5"/>
    <n v="2684"/>
    <s v="Shoes"/>
    <x v="2"/>
    <n v="2000"/>
    <n v="13420"/>
    <n v="10000"/>
    <n v="3420"/>
    <n v="900000"/>
    <n v="1.4911111111111111E-2"/>
  </r>
  <r>
    <s v="O0273"/>
    <x v="27"/>
    <x v="3"/>
    <x v="6"/>
    <s v="P105"/>
    <n v="2"/>
    <n v="5153"/>
    <s v="Table"/>
    <x v="1"/>
    <n v="7000"/>
    <n v="10306"/>
    <n v="14000"/>
    <n v="-3694"/>
    <n v="890000"/>
    <n v="1.1579775280898876E-2"/>
  </r>
  <r>
    <s v="O0274"/>
    <x v="57"/>
    <x v="0"/>
    <x v="7"/>
    <s v="P101"/>
    <n v="12"/>
    <n v="3790"/>
    <s v="Laptop"/>
    <x v="0"/>
    <n v="35000"/>
    <n v="45480"/>
    <n v="420000"/>
    <n v="-374520"/>
    <n v="870000"/>
    <n v="5.227586206896552E-2"/>
  </r>
  <r>
    <s v="O0275"/>
    <x v="141"/>
    <x v="3"/>
    <x v="5"/>
    <s v="P103"/>
    <n v="1"/>
    <n v="1747"/>
    <s v="Headphones"/>
    <x v="0"/>
    <n v="2000"/>
    <n v="1747"/>
    <n v="2000"/>
    <n v="-253"/>
    <n v="900000"/>
    <n v="1.9411111111111111E-3"/>
  </r>
  <r>
    <s v="O0276"/>
    <x v="197"/>
    <x v="1"/>
    <x v="4"/>
    <s v="P108"/>
    <n v="10"/>
    <n v="6810"/>
    <s v="Shoes"/>
    <x v="2"/>
    <n v="2000"/>
    <n v="68100"/>
    <n v="20000"/>
    <n v="48100"/>
    <n v="850000"/>
    <n v="8.011764705882353E-2"/>
  </r>
  <r>
    <s v="O0277"/>
    <x v="189"/>
    <x v="2"/>
    <x v="6"/>
    <s v="P103"/>
    <n v="15"/>
    <n v="955"/>
    <s v="Headphones"/>
    <x v="0"/>
    <n v="2000"/>
    <n v="14325"/>
    <n v="30000"/>
    <n v="-15675"/>
    <n v="890000"/>
    <n v="1.609550561797753E-2"/>
  </r>
  <r>
    <s v="O0278"/>
    <x v="172"/>
    <x v="2"/>
    <x v="4"/>
    <s v="P105"/>
    <n v="6"/>
    <n v="6775"/>
    <s v="Table"/>
    <x v="1"/>
    <n v="7000"/>
    <n v="40650"/>
    <n v="42000"/>
    <n v="-1350"/>
    <n v="850000"/>
    <n v="4.7823529411764709E-2"/>
  </r>
  <r>
    <s v="O0279"/>
    <x v="76"/>
    <x v="1"/>
    <x v="1"/>
    <s v="P106"/>
    <n v="5"/>
    <n v="3423"/>
    <s v="Sofa"/>
    <x v="1"/>
    <n v="15000"/>
    <n v="17115"/>
    <n v="75000"/>
    <n v="-57885"/>
    <n v="880000"/>
    <n v="1.9448863636363636E-2"/>
  </r>
  <r>
    <s v="O0280"/>
    <x v="198"/>
    <x v="0"/>
    <x v="7"/>
    <s v="P108"/>
    <n v="8"/>
    <n v="3980"/>
    <s v="Shoes"/>
    <x v="2"/>
    <n v="2000"/>
    <n v="31840"/>
    <n v="16000"/>
    <n v="15840"/>
    <n v="870000"/>
    <n v="3.6597701149425288E-2"/>
  </r>
  <r>
    <s v="O0281"/>
    <x v="97"/>
    <x v="1"/>
    <x v="2"/>
    <s v="P106"/>
    <n v="14"/>
    <n v="3855"/>
    <s v="Sofa"/>
    <x v="1"/>
    <n v="15000"/>
    <n v="53970"/>
    <n v="210000"/>
    <n v="-156030"/>
    <n v="950000"/>
    <n v="5.6810526315789471E-2"/>
  </r>
  <r>
    <s v="O0282"/>
    <x v="119"/>
    <x v="0"/>
    <x v="1"/>
    <s v="P107"/>
    <n v="6"/>
    <n v="4906"/>
    <s v="Jacket"/>
    <x v="2"/>
    <n v="1500"/>
    <n v="29436"/>
    <n v="9000"/>
    <n v="20436"/>
    <n v="880000"/>
    <n v="3.3450000000000001E-2"/>
  </r>
  <r>
    <s v="O0283"/>
    <x v="199"/>
    <x v="2"/>
    <x v="1"/>
    <s v="P107"/>
    <n v="15"/>
    <n v="5926"/>
    <s v="Jacket"/>
    <x v="2"/>
    <n v="1500"/>
    <n v="88890"/>
    <n v="22500"/>
    <n v="66390"/>
    <n v="880000"/>
    <n v="0.10101136363636364"/>
  </r>
  <r>
    <s v="O0284"/>
    <x v="200"/>
    <x v="0"/>
    <x v="7"/>
    <s v="P103"/>
    <n v="14"/>
    <n v="2989"/>
    <s v="Headphones"/>
    <x v="0"/>
    <n v="2000"/>
    <n v="41846"/>
    <n v="28000"/>
    <n v="13846"/>
    <n v="870000"/>
    <n v="4.8098850574712644E-2"/>
  </r>
  <r>
    <s v="O0285"/>
    <x v="83"/>
    <x v="1"/>
    <x v="6"/>
    <s v="P107"/>
    <n v="13"/>
    <n v="6025"/>
    <s v="Jacket"/>
    <x v="2"/>
    <n v="1500"/>
    <n v="78325"/>
    <n v="19500"/>
    <n v="58825"/>
    <n v="890000"/>
    <n v="8.8005617977528094E-2"/>
  </r>
  <r>
    <s v="O0286"/>
    <x v="50"/>
    <x v="2"/>
    <x v="2"/>
    <s v="P105"/>
    <n v="3"/>
    <n v="1829"/>
    <s v="Table"/>
    <x v="1"/>
    <n v="7000"/>
    <n v="5487"/>
    <n v="21000"/>
    <n v="-15513"/>
    <n v="950000"/>
    <n v="5.7757894736842107E-3"/>
  </r>
  <r>
    <s v="O0287"/>
    <x v="103"/>
    <x v="1"/>
    <x v="7"/>
    <s v="P108"/>
    <n v="5"/>
    <n v="1942"/>
    <s v="Shoes"/>
    <x v="2"/>
    <n v="2000"/>
    <n v="9710"/>
    <n v="10000"/>
    <n v="-290"/>
    <n v="870000"/>
    <n v="1.1160919540229885E-2"/>
  </r>
  <r>
    <s v="O0288"/>
    <x v="201"/>
    <x v="0"/>
    <x v="3"/>
    <s v="P105"/>
    <n v="4"/>
    <n v="3536"/>
    <s v="Table"/>
    <x v="1"/>
    <n v="7000"/>
    <n v="14144"/>
    <n v="28000"/>
    <n v="-13856"/>
    <n v="800000"/>
    <n v="1.7680000000000001E-2"/>
  </r>
  <r>
    <s v="O0289"/>
    <x v="202"/>
    <x v="0"/>
    <x v="6"/>
    <s v="P108"/>
    <n v="11"/>
    <n v="5407"/>
    <s v="Shoes"/>
    <x v="2"/>
    <n v="2000"/>
    <n v="59477"/>
    <n v="22000"/>
    <n v="37477"/>
    <n v="890000"/>
    <n v="6.6828089887640454E-2"/>
  </r>
  <r>
    <s v="O0290"/>
    <x v="203"/>
    <x v="3"/>
    <x v="1"/>
    <s v="P107"/>
    <n v="6"/>
    <n v="4874"/>
    <s v="Jacket"/>
    <x v="2"/>
    <n v="1500"/>
    <n v="29244"/>
    <n v="9000"/>
    <n v="20244"/>
    <n v="880000"/>
    <n v="3.3231818181818182E-2"/>
  </r>
  <r>
    <s v="O0291"/>
    <x v="38"/>
    <x v="3"/>
    <x v="1"/>
    <s v="P101"/>
    <n v="11"/>
    <n v="7568"/>
    <s v="Laptop"/>
    <x v="0"/>
    <n v="35000"/>
    <n v="83248"/>
    <n v="385000"/>
    <n v="-301752"/>
    <n v="880000"/>
    <n v="9.4600000000000004E-2"/>
  </r>
  <r>
    <s v="O0292"/>
    <x v="39"/>
    <x v="1"/>
    <x v="4"/>
    <s v="P105"/>
    <n v="14"/>
    <n v="1711"/>
    <s v="Table"/>
    <x v="1"/>
    <n v="7000"/>
    <n v="23954"/>
    <n v="98000"/>
    <n v="-74046"/>
    <n v="850000"/>
    <n v="2.8181176470588234E-2"/>
  </r>
  <r>
    <s v="O0293"/>
    <x v="204"/>
    <x v="3"/>
    <x v="4"/>
    <s v="P102"/>
    <n v="10"/>
    <n v="1321"/>
    <s v="Mobile"/>
    <x v="0"/>
    <n v="18000"/>
    <n v="13210"/>
    <n v="180000"/>
    <n v="-166790"/>
    <n v="850000"/>
    <n v="1.5541176470588235E-2"/>
  </r>
  <r>
    <s v="O0294"/>
    <x v="123"/>
    <x v="1"/>
    <x v="2"/>
    <s v="P103"/>
    <n v="4"/>
    <n v="2873"/>
    <s v="Headphones"/>
    <x v="0"/>
    <n v="2000"/>
    <n v="11492"/>
    <n v="8000"/>
    <n v="3492"/>
    <n v="950000"/>
    <n v="1.2096842105263158E-2"/>
  </r>
  <r>
    <s v="O0295"/>
    <x v="205"/>
    <x v="2"/>
    <x v="3"/>
    <s v="P105"/>
    <n v="1"/>
    <n v="4348"/>
    <s v="Table"/>
    <x v="1"/>
    <n v="7000"/>
    <n v="4348"/>
    <n v="7000"/>
    <n v="-2652"/>
    <n v="800000"/>
    <n v="5.4349999999999997E-3"/>
  </r>
  <r>
    <s v="O0296"/>
    <x v="17"/>
    <x v="0"/>
    <x v="0"/>
    <s v="P107"/>
    <n v="9"/>
    <n v="5555"/>
    <s v="Jacket"/>
    <x v="2"/>
    <n v="1500"/>
    <n v="49995"/>
    <n v="13500"/>
    <n v="36495"/>
    <n v="920000"/>
    <n v="5.4342391304347828E-2"/>
  </r>
  <r>
    <s v="O0297"/>
    <x v="206"/>
    <x v="3"/>
    <x v="0"/>
    <s v="P102"/>
    <n v="12"/>
    <n v="4102"/>
    <s v="Mobile"/>
    <x v="0"/>
    <n v="18000"/>
    <n v="49224"/>
    <n v="216000"/>
    <n v="-166776"/>
    <n v="920000"/>
    <n v="5.3504347826086956E-2"/>
  </r>
  <r>
    <s v="O0298"/>
    <x v="207"/>
    <x v="0"/>
    <x v="5"/>
    <s v="P103"/>
    <n v="4"/>
    <n v="2785"/>
    <s v="Headphones"/>
    <x v="0"/>
    <n v="2000"/>
    <n v="11140"/>
    <n v="8000"/>
    <n v="3140"/>
    <n v="900000"/>
    <n v="1.2377777777777777E-2"/>
  </r>
  <r>
    <s v="O0299"/>
    <x v="208"/>
    <x v="1"/>
    <x v="6"/>
    <s v="P104"/>
    <n v="8"/>
    <n v="1816"/>
    <s v="Chair"/>
    <x v="1"/>
    <n v="2500"/>
    <n v="14528"/>
    <n v="20000"/>
    <n v="-5472"/>
    <n v="890000"/>
    <n v="1.6323595505617978E-2"/>
  </r>
  <r>
    <s v="O0300"/>
    <x v="191"/>
    <x v="0"/>
    <x v="7"/>
    <s v="P102"/>
    <n v="2"/>
    <n v="5379"/>
    <s v="Mobile"/>
    <x v="0"/>
    <n v="18000"/>
    <n v="10758"/>
    <n v="36000"/>
    <n v="-25242"/>
    <n v="870000"/>
    <n v="1.236551724137931E-2"/>
  </r>
  <r>
    <s v="O0301"/>
    <x v="164"/>
    <x v="3"/>
    <x v="0"/>
    <s v="P101"/>
    <n v="1"/>
    <n v="3525"/>
    <s v="Laptop"/>
    <x v="0"/>
    <n v="35000"/>
    <n v="3525"/>
    <n v="35000"/>
    <n v="-31475"/>
    <n v="920000"/>
    <n v="3.8315217391304349E-3"/>
  </r>
  <r>
    <s v="O0302"/>
    <x v="83"/>
    <x v="2"/>
    <x v="1"/>
    <s v="P101"/>
    <n v="5"/>
    <n v="5086"/>
    <s v="Laptop"/>
    <x v="0"/>
    <n v="35000"/>
    <n v="25430"/>
    <n v="175000"/>
    <n v="-149570"/>
    <n v="880000"/>
    <n v="2.8897727272727273E-2"/>
  </r>
  <r>
    <s v="O0303"/>
    <x v="143"/>
    <x v="0"/>
    <x v="1"/>
    <s v="P101"/>
    <n v="6"/>
    <n v="6965"/>
    <s v="Laptop"/>
    <x v="0"/>
    <n v="35000"/>
    <n v="41790"/>
    <n v="210000"/>
    <n v="-168210"/>
    <n v="880000"/>
    <n v="4.7488636363636365E-2"/>
  </r>
  <r>
    <s v="O0304"/>
    <x v="209"/>
    <x v="2"/>
    <x v="7"/>
    <s v="P103"/>
    <n v="1"/>
    <n v="7566"/>
    <s v="Headphones"/>
    <x v="0"/>
    <n v="2000"/>
    <n v="7566"/>
    <n v="2000"/>
    <n v="5566"/>
    <n v="870000"/>
    <n v="8.6965517241379305E-3"/>
  </r>
  <r>
    <s v="O0305"/>
    <x v="135"/>
    <x v="2"/>
    <x v="6"/>
    <s v="P105"/>
    <n v="15"/>
    <n v="3070"/>
    <s v="Table"/>
    <x v="1"/>
    <n v="7000"/>
    <n v="46050"/>
    <n v="105000"/>
    <n v="-58950"/>
    <n v="890000"/>
    <n v="5.1741573033707862E-2"/>
  </r>
  <r>
    <s v="O0306"/>
    <x v="176"/>
    <x v="0"/>
    <x v="6"/>
    <s v="P108"/>
    <n v="2"/>
    <n v="1838"/>
    <s v="Shoes"/>
    <x v="2"/>
    <n v="2000"/>
    <n v="3676"/>
    <n v="4000"/>
    <n v="-324"/>
    <n v="890000"/>
    <n v="4.1303370786516854E-3"/>
  </r>
  <r>
    <s v="O0307"/>
    <x v="210"/>
    <x v="0"/>
    <x v="5"/>
    <s v="P108"/>
    <n v="2"/>
    <n v="4678"/>
    <s v="Shoes"/>
    <x v="2"/>
    <n v="2000"/>
    <n v="9356"/>
    <n v="4000"/>
    <n v="5356"/>
    <n v="900000"/>
    <n v="1.0395555555555555E-2"/>
  </r>
  <r>
    <s v="O0308"/>
    <x v="17"/>
    <x v="3"/>
    <x v="5"/>
    <s v="P108"/>
    <n v="12"/>
    <n v="6161"/>
    <s v="Shoes"/>
    <x v="2"/>
    <n v="2000"/>
    <n v="73932"/>
    <n v="24000"/>
    <n v="49932"/>
    <n v="900000"/>
    <n v="8.2146666666666673E-2"/>
  </r>
  <r>
    <s v="O0309"/>
    <x v="211"/>
    <x v="1"/>
    <x v="6"/>
    <s v="P107"/>
    <n v="14"/>
    <n v="1996"/>
    <s v="Jacket"/>
    <x v="2"/>
    <n v="1500"/>
    <n v="27944"/>
    <n v="21000"/>
    <n v="6944"/>
    <n v="890000"/>
    <n v="3.1397752808988766E-2"/>
  </r>
  <r>
    <s v="O0310"/>
    <x v="30"/>
    <x v="0"/>
    <x v="0"/>
    <s v="P108"/>
    <n v="14"/>
    <n v="3561"/>
    <s v="Shoes"/>
    <x v="2"/>
    <n v="2000"/>
    <n v="49854"/>
    <n v="28000"/>
    <n v="21854"/>
    <n v="920000"/>
    <n v="5.4189130434782608E-2"/>
  </r>
  <r>
    <s v="O0311"/>
    <x v="108"/>
    <x v="1"/>
    <x v="3"/>
    <s v="P103"/>
    <n v="10"/>
    <n v="3735"/>
    <s v="Headphones"/>
    <x v="0"/>
    <n v="2000"/>
    <n v="37350"/>
    <n v="20000"/>
    <n v="17350"/>
    <n v="800000"/>
    <n v="4.66875E-2"/>
  </r>
  <r>
    <s v="O0312"/>
    <x v="133"/>
    <x v="0"/>
    <x v="4"/>
    <s v="P103"/>
    <n v="2"/>
    <n v="4288"/>
    <s v="Headphones"/>
    <x v="0"/>
    <n v="2000"/>
    <n v="8576"/>
    <n v="4000"/>
    <n v="4576"/>
    <n v="850000"/>
    <n v="1.0089411764705883E-2"/>
  </r>
  <r>
    <s v="O0313"/>
    <x v="63"/>
    <x v="1"/>
    <x v="2"/>
    <s v="P108"/>
    <n v="7"/>
    <n v="5424"/>
    <s v="Shoes"/>
    <x v="2"/>
    <n v="2000"/>
    <n v="37968"/>
    <n v="14000"/>
    <n v="23968"/>
    <n v="950000"/>
    <n v="3.9966315789473683E-2"/>
  </r>
  <r>
    <s v="O0314"/>
    <x v="100"/>
    <x v="1"/>
    <x v="5"/>
    <s v="P105"/>
    <n v="5"/>
    <n v="3046"/>
    <s v="Table"/>
    <x v="1"/>
    <n v="7000"/>
    <n v="15230"/>
    <n v="35000"/>
    <n v="-19770"/>
    <n v="900000"/>
    <n v="1.6922222222222224E-2"/>
  </r>
  <r>
    <s v="O0315"/>
    <x v="7"/>
    <x v="2"/>
    <x v="4"/>
    <s v="P102"/>
    <n v="6"/>
    <n v="1722"/>
    <s v="Mobile"/>
    <x v="0"/>
    <n v="18000"/>
    <n v="10332"/>
    <n v="108000"/>
    <n v="-97668"/>
    <n v="850000"/>
    <n v="1.2155294117647059E-2"/>
  </r>
  <r>
    <s v="O0316"/>
    <x v="185"/>
    <x v="3"/>
    <x v="6"/>
    <s v="P107"/>
    <n v="7"/>
    <n v="1917"/>
    <s v="Jacket"/>
    <x v="2"/>
    <n v="1500"/>
    <n v="13419"/>
    <n v="10500"/>
    <n v="2919"/>
    <n v="890000"/>
    <n v="1.507752808988764E-2"/>
  </r>
  <r>
    <s v="O0317"/>
    <x v="159"/>
    <x v="1"/>
    <x v="5"/>
    <s v="P106"/>
    <n v="6"/>
    <n v="4912"/>
    <s v="Sofa"/>
    <x v="1"/>
    <n v="15000"/>
    <n v="29472"/>
    <n v="90000"/>
    <n v="-60528"/>
    <n v="900000"/>
    <n v="3.2746666666666667E-2"/>
  </r>
  <r>
    <s v="O0318"/>
    <x v="212"/>
    <x v="0"/>
    <x v="2"/>
    <s v="P105"/>
    <n v="10"/>
    <n v="7554"/>
    <s v="Table"/>
    <x v="1"/>
    <n v="7000"/>
    <n v="75540"/>
    <n v="70000"/>
    <n v="5540"/>
    <n v="950000"/>
    <n v="7.9515789473684206E-2"/>
  </r>
  <r>
    <s v="O0319"/>
    <x v="213"/>
    <x v="2"/>
    <x v="5"/>
    <s v="P102"/>
    <n v="1"/>
    <n v="1783"/>
    <s v="Mobile"/>
    <x v="0"/>
    <n v="18000"/>
    <n v="1783"/>
    <n v="18000"/>
    <n v="-16217"/>
    <n v="900000"/>
    <n v="1.981111111111111E-3"/>
  </r>
  <r>
    <s v="O0320"/>
    <x v="214"/>
    <x v="1"/>
    <x v="7"/>
    <s v="P103"/>
    <n v="3"/>
    <n v="7017"/>
    <s v="Headphones"/>
    <x v="0"/>
    <n v="2000"/>
    <n v="21051"/>
    <n v="6000"/>
    <n v="15051"/>
    <n v="870000"/>
    <n v="2.419655172413793E-2"/>
  </r>
  <r>
    <s v="O0321"/>
    <x v="37"/>
    <x v="1"/>
    <x v="3"/>
    <s v="P101"/>
    <n v="7"/>
    <n v="1473"/>
    <s v="Laptop"/>
    <x v="0"/>
    <n v="35000"/>
    <n v="10311"/>
    <n v="245000"/>
    <n v="-234689"/>
    <n v="800000"/>
    <n v="1.2888749999999999E-2"/>
  </r>
  <r>
    <s v="O0322"/>
    <x v="3"/>
    <x v="2"/>
    <x v="0"/>
    <s v="P108"/>
    <n v="6"/>
    <n v="6424"/>
    <s v="Shoes"/>
    <x v="2"/>
    <n v="2000"/>
    <n v="38544"/>
    <n v="12000"/>
    <n v="26544"/>
    <n v="920000"/>
    <n v="4.1895652173913042E-2"/>
  </r>
  <r>
    <s v="O0323"/>
    <x v="178"/>
    <x v="3"/>
    <x v="5"/>
    <s v="P108"/>
    <n v="12"/>
    <n v="6552"/>
    <s v="Shoes"/>
    <x v="2"/>
    <n v="2000"/>
    <n v="78624"/>
    <n v="24000"/>
    <n v="54624"/>
    <n v="900000"/>
    <n v="8.7359999999999993E-2"/>
  </r>
  <r>
    <s v="O0324"/>
    <x v="215"/>
    <x v="2"/>
    <x v="3"/>
    <s v="P105"/>
    <n v="3"/>
    <n v="1932"/>
    <s v="Table"/>
    <x v="1"/>
    <n v="7000"/>
    <n v="5796"/>
    <n v="21000"/>
    <n v="-15204"/>
    <n v="800000"/>
    <n v="7.2449999999999997E-3"/>
  </r>
  <r>
    <s v="O0325"/>
    <x v="74"/>
    <x v="1"/>
    <x v="7"/>
    <s v="P106"/>
    <n v="3"/>
    <n v="5660"/>
    <s v="Sofa"/>
    <x v="1"/>
    <n v="15000"/>
    <n v="16980"/>
    <n v="45000"/>
    <n v="-28020"/>
    <n v="870000"/>
    <n v="1.9517241379310345E-2"/>
  </r>
  <r>
    <s v="O0326"/>
    <x v="216"/>
    <x v="2"/>
    <x v="2"/>
    <s v="P108"/>
    <n v="10"/>
    <n v="6151"/>
    <s v="Shoes"/>
    <x v="2"/>
    <n v="2000"/>
    <n v="61510"/>
    <n v="20000"/>
    <n v="41510"/>
    <n v="950000"/>
    <n v="6.4747368421052637E-2"/>
  </r>
  <r>
    <s v="O0327"/>
    <x v="205"/>
    <x v="1"/>
    <x v="6"/>
    <s v="P104"/>
    <n v="3"/>
    <n v="2043"/>
    <s v="Chair"/>
    <x v="1"/>
    <n v="2500"/>
    <n v="6129"/>
    <n v="7500"/>
    <n v="-1371"/>
    <n v="890000"/>
    <n v="6.886516853932584E-3"/>
  </r>
  <r>
    <s v="O0328"/>
    <x v="174"/>
    <x v="1"/>
    <x v="0"/>
    <s v="P107"/>
    <n v="5"/>
    <n v="6342"/>
    <s v="Jacket"/>
    <x v="2"/>
    <n v="1500"/>
    <n v="31710"/>
    <n v="7500"/>
    <n v="24210"/>
    <n v="920000"/>
    <n v="3.4467391304347825E-2"/>
  </r>
  <r>
    <s v="O0329"/>
    <x v="217"/>
    <x v="1"/>
    <x v="7"/>
    <s v="P108"/>
    <n v="4"/>
    <n v="7704"/>
    <s v="Shoes"/>
    <x v="2"/>
    <n v="2000"/>
    <n v="30816"/>
    <n v="8000"/>
    <n v="22816"/>
    <n v="870000"/>
    <n v="3.5420689655172415E-2"/>
  </r>
  <r>
    <s v="O0330"/>
    <x v="14"/>
    <x v="3"/>
    <x v="3"/>
    <s v="P107"/>
    <n v="10"/>
    <n v="1749"/>
    <s v="Jacket"/>
    <x v="2"/>
    <n v="1500"/>
    <n v="17490"/>
    <n v="15000"/>
    <n v="2490"/>
    <n v="800000"/>
    <n v="2.18625E-2"/>
  </r>
  <r>
    <s v="O0331"/>
    <x v="218"/>
    <x v="0"/>
    <x v="7"/>
    <s v="P107"/>
    <n v="2"/>
    <n v="5882"/>
    <s v="Jacket"/>
    <x v="2"/>
    <n v="1500"/>
    <n v="11764"/>
    <n v="3000"/>
    <n v="8764"/>
    <n v="870000"/>
    <n v="1.352183908045977E-2"/>
  </r>
  <r>
    <s v="O0332"/>
    <x v="65"/>
    <x v="2"/>
    <x v="3"/>
    <s v="P101"/>
    <n v="8"/>
    <n v="7973"/>
    <s v="Laptop"/>
    <x v="0"/>
    <n v="35000"/>
    <n v="63784"/>
    <n v="280000"/>
    <n v="-216216"/>
    <n v="800000"/>
    <n v="7.9729999999999995E-2"/>
  </r>
  <r>
    <s v="O0333"/>
    <x v="219"/>
    <x v="0"/>
    <x v="1"/>
    <s v="P107"/>
    <n v="8"/>
    <n v="3599"/>
    <s v="Jacket"/>
    <x v="2"/>
    <n v="1500"/>
    <n v="28792"/>
    <n v="12000"/>
    <n v="16792"/>
    <n v="880000"/>
    <n v="3.271818181818182E-2"/>
  </r>
  <r>
    <s v="O0334"/>
    <x v="220"/>
    <x v="1"/>
    <x v="5"/>
    <s v="P102"/>
    <n v="9"/>
    <n v="3376"/>
    <s v="Mobile"/>
    <x v="0"/>
    <n v="18000"/>
    <n v="30384"/>
    <n v="162000"/>
    <n v="-131616"/>
    <n v="900000"/>
    <n v="3.3759999999999998E-2"/>
  </r>
  <r>
    <s v="O0335"/>
    <x v="58"/>
    <x v="3"/>
    <x v="0"/>
    <s v="P103"/>
    <n v="14"/>
    <n v="2633"/>
    <s v="Headphones"/>
    <x v="0"/>
    <n v="2000"/>
    <n v="36862"/>
    <n v="28000"/>
    <n v="8862"/>
    <n v="920000"/>
    <n v="4.0067391304347826E-2"/>
  </r>
  <r>
    <s v="O0336"/>
    <x v="221"/>
    <x v="2"/>
    <x v="6"/>
    <s v="P101"/>
    <n v="4"/>
    <n v="6339"/>
    <s v="Laptop"/>
    <x v="0"/>
    <n v="35000"/>
    <n v="25356"/>
    <n v="140000"/>
    <n v="-114644"/>
    <n v="890000"/>
    <n v="2.8489887640449438E-2"/>
  </r>
  <r>
    <s v="O0337"/>
    <x v="96"/>
    <x v="2"/>
    <x v="6"/>
    <s v="P103"/>
    <n v="2"/>
    <n v="6060"/>
    <s v="Headphones"/>
    <x v="0"/>
    <n v="2000"/>
    <n v="12120"/>
    <n v="4000"/>
    <n v="8120"/>
    <n v="890000"/>
    <n v="1.3617977528089888E-2"/>
  </r>
  <r>
    <s v="O0338"/>
    <x v="78"/>
    <x v="2"/>
    <x v="4"/>
    <s v="P107"/>
    <n v="15"/>
    <n v="6122"/>
    <s v="Jacket"/>
    <x v="2"/>
    <n v="1500"/>
    <n v="91830"/>
    <n v="22500"/>
    <n v="69330"/>
    <n v="850000"/>
    <n v="0.10803529411764706"/>
  </r>
  <r>
    <s v="O0339"/>
    <x v="222"/>
    <x v="2"/>
    <x v="3"/>
    <s v="P108"/>
    <n v="9"/>
    <n v="3078"/>
    <s v="Shoes"/>
    <x v="2"/>
    <n v="2000"/>
    <n v="27702"/>
    <n v="18000"/>
    <n v="9702"/>
    <n v="800000"/>
    <n v="3.4627499999999999E-2"/>
  </r>
  <r>
    <s v="O0340"/>
    <x v="75"/>
    <x v="0"/>
    <x v="7"/>
    <s v="P102"/>
    <n v="15"/>
    <n v="3526"/>
    <s v="Mobile"/>
    <x v="0"/>
    <n v="18000"/>
    <n v="52890"/>
    <n v="270000"/>
    <n v="-217110"/>
    <n v="870000"/>
    <n v="6.0793103448275862E-2"/>
  </r>
  <r>
    <s v="O0341"/>
    <x v="214"/>
    <x v="1"/>
    <x v="5"/>
    <s v="P107"/>
    <n v="9"/>
    <n v="6031"/>
    <s v="Jacket"/>
    <x v="2"/>
    <n v="1500"/>
    <n v="54279"/>
    <n v="13500"/>
    <n v="40779"/>
    <n v="900000"/>
    <n v="6.0310000000000002E-2"/>
  </r>
  <r>
    <s v="O0342"/>
    <x v="223"/>
    <x v="3"/>
    <x v="5"/>
    <s v="P105"/>
    <n v="11"/>
    <n v="2851"/>
    <s v="Table"/>
    <x v="1"/>
    <n v="7000"/>
    <n v="31361"/>
    <n v="77000"/>
    <n v="-45639"/>
    <n v="900000"/>
    <n v="3.4845555555555553E-2"/>
  </r>
  <r>
    <s v="O0343"/>
    <x v="144"/>
    <x v="0"/>
    <x v="2"/>
    <s v="P102"/>
    <n v="6"/>
    <n v="1556"/>
    <s v="Mobile"/>
    <x v="0"/>
    <n v="18000"/>
    <n v="9336"/>
    <n v="108000"/>
    <n v="-98664"/>
    <n v="950000"/>
    <n v="9.8273684210526315E-3"/>
  </r>
  <r>
    <s v="O0344"/>
    <x v="136"/>
    <x v="3"/>
    <x v="3"/>
    <s v="P102"/>
    <n v="11"/>
    <n v="1914"/>
    <s v="Mobile"/>
    <x v="0"/>
    <n v="18000"/>
    <n v="21054"/>
    <n v="198000"/>
    <n v="-176946"/>
    <n v="800000"/>
    <n v="2.6317500000000001E-2"/>
  </r>
  <r>
    <s v="O0345"/>
    <x v="224"/>
    <x v="2"/>
    <x v="4"/>
    <s v="P107"/>
    <n v="11"/>
    <n v="5856"/>
    <s v="Jacket"/>
    <x v="2"/>
    <n v="1500"/>
    <n v="64416"/>
    <n v="16500"/>
    <n v="47916"/>
    <n v="850000"/>
    <n v="7.5783529411764708E-2"/>
  </r>
  <r>
    <s v="O0346"/>
    <x v="224"/>
    <x v="2"/>
    <x v="6"/>
    <s v="P107"/>
    <n v="8"/>
    <n v="4986"/>
    <s v="Jacket"/>
    <x v="2"/>
    <n v="1500"/>
    <n v="39888"/>
    <n v="12000"/>
    <n v="27888"/>
    <n v="890000"/>
    <n v="4.4817977528089886E-2"/>
  </r>
  <r>
    <s v="O0347"/>
    <x v="59"/>
    <x v="0"/>
    <x v="4"/>
    <s v="P106"/>
    <n v="13"/>
    <n v="6378"/>
    <s v="Sofa"/>
    <x v="1"/>
    <n v="15000"/>
    <n v="82914"/>
    <n v="195000"/>
    <n v="-112086"/>
    <n v="850000"/>
    <n v="9.7545882352941177E-2"/>
  </r>
  <r>
    <s v="O0348"/>
    <x v="130"/>
    <x v="0"/>
    <x v="5"/>
    <s v="P106"/>
    <n v="5"/>
    <n v="4141"/>
    <s v="Sofa"/>
    <x v="1"/>
    <n v="15000"/>
    <n v="20705"/>
    <n v="75000"/>
    <n v="-54295"/>
    <n v="900000"/>
    <n v="2.3005555555555557E-2"/>
  </r>
  <r>
    <s v="O0349"/>
    <x v="72"/>
    <x v="3"/>
    <x v="3"/>
    <s v="P108"/>
    <n v="2"/>
    <n v="5539"/>
    <s v="Shoes"/>
    <x v="2"/>
    <n v="2000"/>
    <n v="11078"/>
    <n v="4000"/>
    <n v="7078"/>
    <n v="800000"/>
    <n v="1.38475E-2"/>
  </r>
  <r>
    <s v="O0350"/>
    <x v="169"/>
    <x v="3"/>
    <x v="4"/>
    <s v="P103"/>
    <n v="8"/>
    <n v="4668"/>
    <s v="Headphones"/>
    <x v="0"/>
    <n v="2000"/>
    <n v="37344"/>
    <n v="16000"/>
    <n v="21344"/>
    <n v="850000"/>
    <n v="4.3934117647058825E-2"/>
  </r>
  <r>
    <s v="O0351"/>
    <x v="20"/>
    <x v="0"/>
    <x v="6"/>
    <s v="P107"/>
    <n v="5"/>
    <n v="2667"/>
    <s v="Jacket"/>
    <x v="2"/>
    <n v="1500"/>
    <n v="13335"/>
    <n v="7500"/>
    <n v="5835"/>
    <n v="890000"/>
    <n v="1.498314606741573E-2"/>
  </r>
  <r>
    <s v="O0352"/>
    <x v="118"/>
    <x v="0"/>
    <x v="0"/>
    <s v="P102"/>
    <n v="4"/>
    <n v="7076"/>
    <s v="Mobile"/>
    <x v="0"/>
    <n v="18000"/>
    <n v="28304"/>
    <n v="72000"/>
    <n v="-43696"/>
    <n v="920000"/>
    <n v="3.0765217391304348E-2"/>
  </r>
  <r>
    <s v="O0353"/>
    <x v="114"/>
    <x v="1"/>
    <x v="2"/>
    <s v="P104"/>
    <n v="12"/>
    <n v="965"/>
    <s v="Chair"/>
    <x v="1"/>
    <n v="2500"/>
    <n v="11580"/>
    <n v="30000"/>
    <n v="-18420"/>
    <n v="950000"/>
    <n v="1.2189473684210526E-2"/>
  </r>
  <r>
    <s v="O0354"/>
    <x v="52"/>
    <x v="0"/>
    <x v="0"/>
    <s v="P104"/>
    <n v="15"/>
    <n v="6508"/>
    <s v="Chair"/>
    <x v="1"/>
    <n v="2500"/>
    <n v="97620"/>
    <n v="37500"/>
    <n v="60120"/>
    <n v="920000"/>
    <n v="0.10610869565217391"/>
  </r>
  <r>
    <s v="O0355"/>
    <x v="88"/>
    <x v="2"/>
    <x v="0"/>
    <s v="P102"/>
    <n v="3"/>
    <n v="533"/>
    <s v="Mobile"/>
    <x v="0"/>
    <n v="18000"/>
    <n v="1599"/>
    <n v="54000"/>
    <n v="-52401"/>
    <n v="920000"/>
    <n v="1.7380434782608696E-3"/>
  </r>
  <r>
    <s v="O0356"/>
    <x v="225"/>
    <x v="0"/>
    <x v="2"/>
    <s v="P106"/>
    <n v="8"/>
    <n v="5385"/>
    <s v="Sofa"/>
    <x v="1"/>
    <n v="15000"/>
    <n v="43080"/>
    <n v="120000"/>
    <n v="-76920"/>
    <n v="950000"/>
    <n v="4.5347368421052629E-2"/>
  </r>
  <r>
    <s v="O0357"/>
    <x v="124"/>
    <x v="3"/>
    <x v="1"/>
    <s v="P102"/>
    <n v="2"/>
    <n v="7737"/>
    <s v="Mobile"/>
    <x v="0"/>
    <n v="18000"/>
    <n v="15474"/>
    <n v="36000"/>
    <n v="-20526"/>
    <n v="880000"/>
    <n v="1.758409090909091E-2"/>
  </r>
  <r>
    <s v="O0358"/>
    <x v="4"/>
    <x v="2"/>
    <x v="0"/>
    <s v="P107"/>
    <n v="13"/>
    <n v="6953"/>
    <s v="Jacket"/>
    <x v="2"/>
    <n v="1500"/>
    <n v="90389"/>
    <n v="19500"/>
    <n v="70889"/>
    <n v="920000"/>
    <n v="9.8248913043478256E-2"/>
  </r>
  <r>
    <s v="O0359"/>
    <x v="199"/>
    <x v="0"/>
    <x v="0"/>
    <s v="P101"/>
    <n v="12"/>
    <n v="5997"/>
    <s v="Laptop"/>
    <x v="0"/>
    <n v="35000"/>
    <n v="71964"/>
    <n v="420000"/>
    <n v="-348036"/>
    <n v="920000"/>
    <n v="7.8221739130434786E-2"/>
  </r>
  <r>
    <s v="O0360"/>
    <x v="226"/>
    <x v="2"/>
    <x v="6"/>
    <s v="P103"/>
    <n v="7"/>
    <n v="825"/>
    <s v="Headphones"/>
    <x v="0"/>
    <n v="2000"/>
    <n v="5775"/>
    <n v="14000"/>
    <n v="-8225"/>
    <n v="890000"/>
    <n v="6.4887640449438205E-3"/>
  </r>
  <r>
    <s v="O0361"/>
    <x v="227"/>
    <x v="0"/>
    <x v="6"/>
    <s v="P106"/>
    <n v="11"/>
    <n v="5451"/>
    <s v="Sofa"/>
    <x v="1"/>
    <n v="15000"/>
    <n v="59961"/>
    <n v="165000"/>
    <n v="-105039"/>
    <n v="890000"/>
    <n v="6.7371910112359545E-2"/>
  </r>
  <r>
    <s v="O0362"/>
    <x v="199"/>
    <x v="3"/>
    <x v="3"/>
    <s v="P101"/>
    <n v="9"/>
    <n v="4066"/>
    <s v="Laptop"/>
    <x v="0"/>
    <n v="35000"/>
    <n v="36594"/>
    <n v="315000"/>
    <n v="-278406"/>
    <n v="800000"/>
    <n v="4.5742499999999998E-2"/>
  </r>
  <r>
    <s v="O0363"/>
    <x v="141"/>
    <x v="2"/>
    <x v="3"/>
    <s v="P106"/>
    <n v="9"/>
    <n v="3650"/>
    <s v="Sofa"/>
    <x v="1"/>
    <n v="15000"/>
    <n v="32850"/>
    <n v="135000"/>
    <n v="-102150"/>
    <n v="800000"/>
    <n v="4.1062500000000002E-2"/>
  </r>
  <r>
    <s v="O0364"/>
    <x v="228"/>
    <x v="2"/>
    <x v="0"/>
    <s v="P108"/>
    <n v="11"/>
    <n v="4714"/>
    <s v="Shoes"/>
    <x v="2"/>
    <n v="2000"/>
    <n v="51854"/>
    <n v="22000"/>
    <n v="29854"/>
    <n v="920000"/>
    <n v="5.636304347826087E-2"/>
  </r>
  <r>
    <s v="O0365"/>
    <x v="174"/>
    <x v="2"/>
    <x v="3"/>
    <s v="P105"/>
    <n v="11"/>
    <n v="5962"/>
    <s v="Table"/>
    <x v="1"/>
    <n v="7000"/>
    <n v="65582"/>
    <n v="77000"/>
    <n v="-11418"/>
    <n v="800000"/>
    <n v="8.1977499999999995E-2"/>
  </r>
  <r>
    <s v="O0366"/>
    <x v="127"/>
    <x v="1"/>
    <x v="6"/>
    <s v="P107"/>
    <n v="8"/>
    <n v="4319"/>
    <s v="Jacket"/>
    <x v="2"/>
    <n v="1500"/>
    <n v="34552"/>
    <n v="12000"/>
    <n v="22552"/>
    <n v="890000"/>
    <n v="3.8822471910112358E-2"/>
  </r>
  <r>
    <s v="O0367"/>
    <x v="3"/>
    <x v="0"/>
    <x v="1"/>
    <s v="P108"/>
    <n v="15"/>
    <n v="5470"/>
    <s v="Shoes"/>
    <x v="2"/>
    <n v="2000"/>
    <n v="82050"/>
    <n v="30000"/>
    <n v="52050"/>
    <n v="880000"/>
    <n v="9.3238636363636357E-2"/>
  </r>
  <r>
    <s v="O0368"/>
    <x v="10"/>
    <x v="3"/>
    <x v="4"/>
    <s v="P108"/>
    <n v="5"/>
    <n v="7759"/>
    <s v="Shoes"/>
    <x v="2"/>
    <n v="2000"/>
    <n v="38795"/>
    <n v="10000"/>
    <n v="28795"/>
    <n v="850000"/>
    <n v="4.5641176470588234E-2"/>
  </r>
  <r>
    <s v="O0369"/>
    <x v="153"/>
    <x v="0"/>
    <x v="1"/>
    <s v="P103"/>
    <n v="8"/>
    <n v="2856"/>
    <s v="Headphones"/>
    <x v="0"/>
    <n v="2000"/>
    <n v="22848"/>
    <n v="16000"/>
    <n v="6848"/>
    <n v="880000"/>
    <n v="2.5963636363636362E-2"/>
  </r>
  <r>
    <s v="O0370"/>
    <x v="229"/>
    <x v="2"/>
    <x v="3"/>
    <s v="P104"/>
    <n v="14"/>
    <n v="3289"/>
    <s v="Chair"/>
    <x v="1"/>
    <n v="2500"/>
    <n v="46046"/>
    <n v="35000"/>
    <n v="11046"/>
    <n v="800000"/>
    <n v="5.7557499999999998E-2"/>
  </r>
  <r>
    <s v="O0371"/>
    <x v="230"/>
    <x v="0"/>
    <x v="0"/>
    <s v="P107"/>
    <n v="15"/>
    <n v="3088"/>
    <s v="Jacket"/>
    <x v="2"/>
    <n v="1500"/>
    <n v="46320"/>
    <n v="22500"/>
    <n v="23820"/>
    <n v="920000"/>
    <n v="5.0347826086956524E-2"/>
  </r>
  <r>
    <s v="O0372"/>
    <x v="231"/>
    <x v="1"/>
    <x v="1"/>
    <s v="P103"/>
    <n v="7"/>
    <n v="1265"/>
    <s v="Headphones"/>
    <x v="0"/>
    <n v="2000"/>
    <n v="8855"/>
    <n v="14000"/>
    <n v="-5145"/>
    <n v="880000"/>
    <n v="1.00625E-2"/>
  </r>
  <r>
    <s v="O0373"/>
    <x v="100"/>
    <x v="0"/>
    <x v="1"/>
    <s v="P102"/>
    <n v="2"/>
    <n v="7465"/>
    <s v="Mobile"/>
    <x v="0"/>
    <n v="18000"/>
    <n v="14930"/>
    <n v="36000"/>
    <n v="-21070"/>
    <n v="880000"/>
    <n v="1.6965909090909091E-2"/>
  </r>
  <r>
    <s v="O0374"/>
    <x v="135"/>
    <x v="0"/>
    <x v="2"/>
    <s v="P107"/>
    <n v="6"/>
    <n v="7980"/>
    <s v="Jacket"/>
    <x v="2"/>
    <n v="1500"/>
    <n v="47880"/>
    <n v="9000"/>
    <n v="38880"/>
    <n v="950000"/>
    <n v="5.04E-2"/>
  </r>
  <r>
    <s v="O0375"/>
    <x v="83"/>
    <x v="1"/>
    <x v="1"/>
    <s v="P104"/>
    <n v="5"/>
    <n v="3838"/>
    <s v="Chair"/>
    <x v="1"/>
    <n v="2500"/>
    <n v="19190"/>
    <n v="12500"/>
    <n v="6690"/>
    <n v="880000"/>
    <n v="2.1806818181818181E-2"/>
  </r>
  <r>
    <s v="O0376"/>
    <x v="232"/>
    <x v="2"/>
    <x v="4"/>
    <s v="P104"/>
    <n v="6"/>
    <n v="3397"/>
    <s v="Chair"/>
    <x v="1"/>
    <n v="2500"/>
    <n v="20382"/>
    <n v="15000"/>
    <n v="5382"/>
    <n v="850000"/>
    <n v="2.3978823529411764E-2"/>
  </r>
  <r>
    <s v="O0377"/>
    <x v="233"/>
    <x v="2"/>
    <x v="0"/>
    <s v="P106"/>
    <n v="8"/>
    <n v="6347"/>
    <s v="Sofa"/>
    <x v="1"/>
    <n v="15000"/>
    <n v="50776"/>
    <n v="120000"/>
    <n v="-69224"/>
    <n v="920000"/>
    <n v="5.5191304347826084E-2"/>
  </r>
  <r>
    <s v="O0378"/>
    <x v="36"/>
    <x v="3"/>
    <x v="6"/>
    <s v="P107"/>
    <n v="5"/>
    <n v="1856"/>
    <s v="Jacket"/>
    <x v="2"/>
    <n v="1500"/>
    <n v="9280"/>
    <n v="7500"/>
    <n v="1780"/>
    <n v="890000"/>
    <n v="1.0426966292134831E-2"/>
  </r>
  <r>
    <s v="O0379"/>
    <x v="234"/>
    <x v="3"/>
    <x v="2"/>
    <s v="P103"/>
    <n v="11"/>
    <n v="6460"/>
    <s v="Headphones"/>
    <x v="0"/>
    <n v="2000"/>
    <n v="71060"/>
    <n v="22000"/>
    <n v="49060"/>
    <n v="950000"/>
    <n v="7.4800000000000005E-2"/>
  </r>
  <r>
    <s v="O0380"/>
    <x v="31"/>
    <x v="2"/>
    <x v="7"/>
    <s v="P107"/>
    <n v="15"/>
    <n v="4140"/>
    <s v="Jacket"/>
    <x v="2"/>
    <n v="1500"/>
    <n v="62100"/>
    <n v="22500"/>
    <n v="39600"/>
    <n v="870000"/>
    <n v="7.1379310344827585E-2"/>
  </r>
  <r>
    <s v="O0381"/>
    <x v="121"/>
    <x v="1"/>
    <x v="5"/>
    <s v="P105"/>
    <n v="4"/>
    <n v="7272"/>
    <s v="Table"/>
    <x v="1"/>
    <n v="7000"/>
    <n v="29088"/>
    <n v="28000"/>
    <n v="1088"/>
    <n v="900000"/>
    <n v="3.2320000000000002E-2"/>
  </r>
  <r>
    <s v="O0382"/>
    <x v="82"/>
    <x v="3"/>
    <x v="6"/>
    <s v="P105"/>
    <n v="11"/>
    <n v="7920"/>
    <s v="Table"/>
    <x v="1"/>
    <n v="7000"/>
    <n v="87120"/>
    <n v="77000"/>
    <n v="10120"/>
    <n v="890000"/>
    <n v="9.7887640449438207E-2"/>
  </r>
  <r>
    <s v="O0383"/>
    <x v="10"/>
    <x v="1"/>
    <x v="2"/>
    <s v="P103"/>
    <n v="14"/>
    <n v="7528"/>
    <s v="Headphones"/>
    <x v="0"/>
    <n v="2000"/>
    <n v="105392"/>
    <n v="28000"/>
    <n v="77392"/>
    <n v="950000"/>
    <n v="0.11093894736842105"/>
  </r>
  <r>
    <s v="O0384"/>
    <x v="208"/>
    <x v="0"/>
    <x v="4"/>
    <s v="P104"/>
    <n v="9"/>
    <n v="4662"/>
    <s v="Chair"/>
    <x v="1"/>
    <n v="2500"/>
    <n v="41958"/>
    <n v="22500"/>
    <n v="19458"/>
    <n v="850000"/>
    <n v="4.9362352941176468E-2"/>
  </r>
  <r>
    <s v="O0385"/>
    <x v="40"/>
    <x v="1"/>
    <x v="6"/>
    <s v="P108"/>
    <n v="4"/>
    <n v="5893"/>
    <s v="Shoes"/>
    <x v="2"/>
    <n v="2000"/>
    <n v="23572"/>
    <n v="8000"/>
    <n v="15572"/>
    <n v="890000"/>
    <n v="2.6485393258426967E-2"/>
  </r>
  <r>
    <s v="O0386"/>
    <x v="60"/>
    <x v="0"/>
    <x v="1"/>
    <s v="P103"/>
    <n v="14"/>
    <n v="5834"/>
    <s v="Headphones"/>
    <x v="0"/>
    <n v="2000"/>
    <n v="81676"/>
    <n v="28000"/>
    <n v="53676"/>
    <n v="880000"/>
    <n v="9.2813636363636362E-2"/>
  </r>
  <r>
    <s v="O0387"/>
    <x v="235"/>
    <x v="2"/>
    <x v="6"/>
    <s v="P102"/>
    <n v="9"/>
    <n v="933"/>
    <s v="Mobile"/>
    <x v="0"/>
    <n v="18000"/>
    <n v="8397"/>
    <n v="162000"/>
    <n v="-153603"/>
    <n v="890000"/>
    <n v="9.434831460674158E-3"/>
  </r>
  <r>
    <s v="O0388"/>
    <x v="72"/>
    <x v="3"/>
    <x v="3"/>
    <s v="P108"/>
    <n v="7"/>
    <n v="932"/>
    <s v="Shoes"/>
    <x v="2"/>
    <n v="2000"/>
    <n v="6524"/>
    <n v="14000"/>
    <n v="-7476"/>
    <n v="800000"/>
    <n v="8.1550000000000008E-3"/>
  </r>
  <r>
    <s v="O0389"/>
    <x v="85"/>
    <x v="2"/>
    <x v="4"/>
    <s v="P103"/>
    <n v="14"/>
    <n v="4028"/>
    <s v="Headphones"/>
    <x v="0"/>
    <n v="2000"/>
    <n v="56392"/>
    <n v="28000"/>
    <n v="28392"/>
    <n v="850000"/>
    <n v="6.6343529411764704E-2"/>
  </r>
  <r>
    <s v="O0390"/>
    <x v="156"/>
    <x v="0"/>
    <x v="0"/>
    <s v="P107"/>
    <n v="9"/>
    <n v="1628"/>
    <s v="Jacket"/>
    <x v="2"/>
    <n v="1500"/>
    <n v="14652"/>
    <n v="13500"/>
    <n v="1152"/>
    <n v="920000"/>
    <n v="1.5926086956521739E-2"/>
  </r>
  <r>
    <s v="O0391"/>
    <x v="111"/>
    <x v="0"/>
    <x v="1"/>
    <s v="P106"/>
    <n v="15"/>
    <n v="6228"/>
    <s v="Sofa"/>
    <x v="1"/>
    <n v="15000"/>
    <n v="93420"/>
    <n v="225000"/>
    <n v="-131580"/>
    <n v="880000"/>
    <n v="0.10615909090909091"/>
  </r>
  <r>
    <s v="O0392"/>
    <x v="236"/>
    <x v="1"/>
    <x v="5"/>
    <s v="P106"/>
    <n v="3"/>
    <n v="5250"/>
    <s v="Sofa"/>
    <x v="1"/>
    <n v="15000"/>
    <n v="15750"/>
    <n v="45000"/>
    <n v="-29250"/>
    <n v="900000"/>
    <n v="1.7500000000000002E-2"/>
  </r>
  <r>
    <s v="O0393"/>
    <x v="43"/>
    <x v="0"/>
    <x v="1"/>
    <s v="P102"/>
    <n v="2"/>
    <n v="7997"/>
    <s v="Mobile"/>
    <x v="0"/>
    <n v="18000"/>
    <n v="15994"/>
    <n v="36000"/>
    <n v="-20006"/>
    <n v="880000"/>
    <n v="1.8175E-2"/>
  </r>
  <r>
    <s v="O0394"/>
    <x v="27"/>
    <x v="0"/>
    <x v="3"/>
    <s v="P105"/>
    <n v="11"/>
    <n v="1408"/>
    <s v="Table"/>
    <x v="1"/>
    <n v="7000"/>
    <n v="15488"/>
    <n v="77000"/>
    <n v="-61512"/>
    <n v="800000"/>
    <n v="1.9359999999999999E-2"/>
  </r>
  <r>
    <s v="O0395"/>
    <x v="140"/>
    <x v="3"/>
    <x v="4"/>
    <s v="P108"/>
    <n v="12"/>
    <n v="1401"/>
    <s v="Shoes"/>
    <x v="2"/>
    <n v="2000"/>
    <n v="16812"/>
    <n v="24000"/>
    <n v="-7188"/>
    <n v="850000"/>
    <n v="1.9778823529411765E-2"/>
  </r>
  <r>
    <s v="O0396"/>
    <x v="237"/>
    <x v="3"/>
    <x v="4"/>
    <s v="P103"/>
    <n v="3"/>
    <n v="2992"/>
    <s v="Headphones"/>
    <x v="0"/>
    <n v="2000"/>
    <n v="8976"/>
    <n v="6000"/>
    <n v="2976"/>
    <n v="850000"/>
    <n v="1.056E-2"/>
  </r>
  <r>
    <s v="O0397"/>
    <x v="30"/>
    <x v="0"/>
    <x v="5"/>
    <s v="P106"/>
    <n v="7"/>
    <n v="5669"/>
    <s v="Sofa"/>
    <x v="1"/>
    <n v="15000"/>
    <n v="39683"/>
    <n v="105000"/>
    <n v="-65317"/>
    <n v="900000"/>
    <n v="4.409222222222222E-2"/>
  </r>
  <r>
    <s v="O0398"/>
    <x v="238"/>
    <x v="1"/>
    <x v="4"/>
    <s v="P104"/>
    <n v="12"/>
    <n v="7816"/>
    <s v="Chair"/>
    <x v="1"/>
    <n v="2500"/>
    <n v="93792"/>
    <n v="30000"/>
    <n v="63792"/>
    <n v="850000"/>
    <n v="0.1103435294117647"/>
  </r>
  <r>
    <s v="O0399"/>
    <x v="239"/>
    <x v="3"/>
    <x v="3"/>
    <s v="P108"/>
    <n v="4"/>
    <n v="7012"/>
    <s v="Shoes"/>
    <x v="2"/>
    <n v="2000"/>
    <n v="28048"/>
    <n v="8000"/>
    <n v="20048"/>
    <n v="800000"/>
    <n v="3.5060000000000001E-2"/>
  </r>
  <r>
    <s v="O0400"/>
    <x v="8"/>
    <x v="2"/>
    <x v="4"/>
    <s v="P106"/>
    <n v="1"/>
    <n v="2945"/>
    <s v="Sofa"/>
    <x v="1"/>
    <n v="15000"/>
    <n v="2945"/>
    <n v="15000"/>
    <n v="-12055"/>
    <n v="850000"/>
    <n v="3.4647058823529414E-3"/>
  </r>
  <r>
    <s v="O0401"/>
    <x v="40"/>
    <x v="2"/>
    <x v="0"/>
    <s v="P106"/>
    <n v="10"/>
    <n v="6365"/>
    <s v="Sofa"/>
    <x v="1"/>
    <n v="15000"/>
    <n v="63650"/>
    <n v="150000"/>
    <n v="-86350"/>
    <n v="920000"/>
    <n v="6.918478260869565E-2"/>
  </r>
  <r>
    <s v="O0402"/>
    <x v="240"/>
    <x v="0"/>
    <x v="7"/>
    <s v="P102"/>
    <n v="13"/>
    <n v="5229"/>
    <s v="Mobile"/>
    <x v="0"/>
    <n v="18000"/>
    <n v="67977"/>
    <n v="234000"/>
    <n v="-166023"/>
    <n v="870000"/>
    <n v="7.8134482758620685E-2"/>
  </r>
  <r>
    <s v="O0403"/>
    <x v="218"/>
    <x v="3"/>
    <x v="5"/>
    <s v="P103"/>
    <n v="9"/>
    <n v="5719"/>
    <s v="Headphones"/>
    <x v="0"/>
    <n v="2000"/>
    <n v="51471"/>
    <n v="18000"/>
    <n v="33471"/>
    <n v="900000"/>
    <n v="5.7189999999999998E-2"/>
  </r>
  <r>
    <s v="O0404"/>
    <x v="47"/>
    <x v="2"/>
    <x v="2"/>
    <s v="P108"/>
    <n v="1"/>
    <n v="1449"/>
    <s v="Shoes"/>
    <x v="2"/>
    <n v="2000"/>
    <n v="1449"/>
    <n v="2000"/>
    <n v="-551"/>
    <n v="950000"/>
    <n v="1.5252631578947368E-3"/>
  </r>
  <r>
    <s v="O0405"/>
    <x v="241"/>
    <x v="3"/>
    <x v="1"/>
    <s v="P102"/>
    <n v="10"/>
    <n v="5882"/>
    <s v="Mobile"/>
    <x v="0"/>
    <n v="18000"/>
    <n v="58820"/>
    <n v="180000"/>
    <n v="-121180"/>
    <n v="880000"/>
    <n v="6.684090909090909E-2"/>
  </r>
  <r>
    <s v="O0406"/>
    <x v="90"/>
    <x v="1"/>
    <x v="1"/>
    <s v="P105"/>
    <n v="14"/>
    <n v="2044"/>
    <s v="Table"/>
    <x v="1"/>
    <n v="7000"/>
    <n v="28616"/>
    <n v="98000"/>
    <n v="-69384"/>
    <n v="880000"/>
    <n v="3.2518181818181821E-2"/>
  </r>
  <r>
    <s v="O0407"/>
    <x v="242"/>
    <x v="0"/>
    <x v="3"/>
    <s v="P108"/>
    <n v="4"/>
    <n v="3878"/>
    <s v="Shoes"/>
    <x v="2"/>
    <n v="2000"/>
    <n v="15512"/>
    <n v="8000"/>
    <n v="7512"/>
    <n v="800000"/>
    <n v="1.9390000000000001E-2"/>
  </r>
  <r>
    <s v="O0408"/>
    <x v="20"/>
    <x v="2"/>
    <x v="7"/>
    <s v="P106"/>
    <n v="14"/>
    <n v="7005"/>
    <s v="Sofa"/>
    <x v="1"/>
    <n v="15000"/>
    <n v="98070"/>
    <n v="210000"/>
    <n v="-111930"/>
    <n v="870000"/>
    <n v="0.11272413793103449"/>
  </r>
  <r>
    <s v="O0409"/>
    <x v="22"/>
    <x v="0"/>
    <x v="7"/>
    <s v="P108"/>
    <n v="10"/>
    <n v="7733"/>
    <s v="Shoes"/>
    <x v="2"/>
    <n v="2000"/>
    <n v="77330"/>
    <n v="20000"/>
    <n v="57330"/>
    <n v="870000"/>
    <n v="8.8885057471264364E-2"/>
  </r>
  <r>
    <s v="O0410"/>
    <x v="189"/>
    <x v="3"/>
    <x v="0"/>
    <s v="P104"/>
    <n v="10"/>
    <n v="1389"/>
    <s v="Chair"/>
    <x v="1"/>
    <n v="2500"/>
    <n v="13890"/>
    <n v="25000"/>
    <n v="-11110"/>
    <n v="920000"/>
    <n v="1.5097826086956522E-2"/>
  </r>
  <r>
    <s v="O0411"/>
    <x v="206"/>
    <x v="0"/>
    <x v="2"/>
    <s v="P107"/>
    <n v="2"/>
    <n v="6108"/>
    <s v="Jacket"/>
    <x v="2"/>
    <n v="1500"/>
    <n v="12216"/>
    <n v="3000"/>
    <n v="9216"/>
    <n v="950000"/>
    <n v="1.2858947368421053E-2"/>
  </r>
  <r>
    <s v="O0412"/>
    <x v="243"/>
    <x v="0"/>
    <x v="4"/>
    <s v="P101"/>
    <n v="11"/>
    <n v="5880"/>
    <s v="Laptop"/>
    <x v="0"/>
    <n v="35000"/>
    <n v="64680"/>
    <n v="385000"/>
    <n v="-320320"/>
    <n v="850000"/>
    <n v="7.6094117647058826E-2"/>
  </r>
  <r>
    <s v="O0413"/>
    <x v="109"/>
    <x v="2"/>
    <x v="3"/>
    <s v="P103"/>
    <n v="1"/>
    <n v="6129"/>
    <s v="Headphones"/>
    <x v="0"/>
    <n v="2000"/>
    <n v="6129"/>
    <n v="2000"/>
    <n v="4129"/>
    <n v="800000"/>
    <n v="7.6612499999999997E-3"/>
  </r>
  <r>
    <s v="O0414"/>
    <x v="55"/>
    <x v="2"/>
    <x v="4"/>
    <s v="P102"/>
    <n v="4"/>
    <n v="5567"/>
    <s v="Mobile"/>
    <x v="0"/>
    <n v="18000"/>
    <n v="22268"/>
    <n v="72000"/>
    <n v="-49732"/>
    <n v="850000"/>
    <n v="2.619764705882353E-2"/>
  </r>
  <r>
    <s v="O0415"/>
    <x v="183"/>
    <x v="1"/>
    <x v="7"/>
    <s v="P106"/>
    <n v="6"/>
    <n v="5302"/>
    <s v="Sofa"/>
    <x v="1"/>
    <n v="15000"/>
    <n v="31812"/>
    <n v="90000"/>
    <n v="-58188"/>
    <n v="870000"/>
    <n v="3.6565517241379311E-2"/>
  </r>
  <r>
    <s v="O0416"/>
    <x v="244"/>
    <x v="2"/>
    <x v="7"/>
    <s v="P108"/>
    <n v="7"/>
    <n v="1661"/>
    <s v="Shoes"/>
    <x v="2"/>
    <n v="2000"/>
    <n v="11627"/>
    <n v="14000"/>
    <n v="-2373"/>
    <n v="870000"/>
    <n v="1.3364367816091955E-2"/>
  </r>
  <r>
    <s v="O0417"/>
    <x v="11"/>
    <x v="3"/>
    <x v="2"/>
    <s v="P102"/>
    <n v="10"/>
    <n v="2911"/>
    <s v="Mobile"/>
    <x v="0"/>
    <n v="18000"/>
    <n v="29110"/>
    <n v="180000"/>
    <n v="-150890"/>
    <n v="950000"/>
    <n v="3.0642105263157894E-2"/>
  </r>
  <r>
    <s v="O0418"/>
    <x v="149"/>
    <x v="1"/>
    <x v="7"/>
    <s v="P104"/>
    <n v="12"/>
    <n v="5655"/>
    <s v="Chair"/>
    <x v="1"/>
    <n v="2500"/>
    <n v="67860"/>
    <n v="30000"/>
    <n v="37860"/>
    <n v="870000"/>
    <n v="7.8E-2"/>
  </r>
  <r>
    <s v="O0419"/>
    <x v="245"/>
    <x v="3"/>
    <x v="1"/>
    <s v="P108"/>
    <n v="15"/>
    <n v="7022"/>
    <s v="Shoes"/>
    <x v="2"/>
    <n v="2000"/>
    <n v="105330"/>
    <n v="30000"/>
    <n v="75330"/>
    <n v="880000"/>
    <n v="0.11969318181818182"/>
  </r>
  <r>
    <s v="O0420"/>
    <x v="246"/>
    <x v="1"/>
    <x v="4"/>
    <s v="P108"/>
    <n v="5"/>
    <n v="1879"/>
    <s v="Shoes"/>
    <x v="2"/>
    <n v="2000"/>
    <n v="9395"/>
    <n v="10000"/>
    <n v="-605"/>
    <n v="850000"/>
    <n v="1.1052941176470588E-2"/>
  </r>
  <r>
    <s v="O0421"/>
    <x v="80"/>
    <x v="1"/>
    <x v="1"/>
    <s v="P108"/>
    <n v="4"/>
    <n v="3370"/>
    <s v="Shoes"/>
    <x v="2"/>
    <n v="2000"/>
    <n v="13480"/>
    <n v="8000"/>
    <n v="5480"/>
    <n v="880000"/>
    <n v="1.5318181818181818E-2"/>
  </r>
  <r>
    <s v="O0422"/>
    <x v="247"/>
    <x v="0"/>
    <x v="3"/>
    <s v="P105"/>
    <n v="8"/>
    <n v="5214"/>
    <s v="Table"/>
    <x v="1"/>
    <n v="7000"/>
    <n v="41712"/>
    <n v="56000"/>
    <n v="-14288"/>
    <n v="800000"/>
    <n v="5.2139999999999999E-2"/>
  </r>
  <r>
    <s v="O0423"/>
    <x v="248"/>
    <x v="1"/>
    <x v="6"/>
    <s v="P103"/>
    <n v="4"/>
    <n v="7601"/>
    <s v="Headphones"/>
    <x v="0"/>
    <n v="2000"/>
    <n v="30404"/>
    <n v="8000"/>
    <n v="22404"/>
    <n v="890000"/>
    <n v="3.4161797752808989E-2"/>
  </r>
  <r>
    <s v="O0424"/>
    <x v="9"/>
    <x v="3"/>
    <x v="4"/>
    <s v="P105"/>
    <n v="5"/>
    <n v="7188"/>
    <s v="Table"/>
    <x v="1"/>
    <n v="7000"/>
    <n v="35940"/>
    <n v="35000"/>
    <n v="940"/>
    <n v="850000"/>
    <n v="4.2282352941176472E-2"/>
  </r>
  <r>
    <s v="O0425"/>
    <x v="154"/>
    <x v="0"/>
    <x v="1"/>
    <s v="P102"/>
    <n v="12"/>
    <n v="5557"/>
    <s v="Mobile"/>
    <x v="0"/>
    <n v="18000"/>
    <n v="66684"/>
    <n v="216000"/>
    <n v="-149316"/>
    <n v="880000"/>
    <n v="7.5777272727272721E-2"/>
  </r>
  <r>
    <s v="O0426"/>
    <x v="109"/>
    <x v="2"/>
    <x v="4"/>
    <s v="P102"/>
    <n v="8"/>
    <n v="1473"/>
    <s v="Mobile"/>
    <x v="0"/>
    <n v="18000"/>
    <n v="11784"/>
    <n v="144000"/>
    <n v="-132216"/>
    <n v="850000"/>
    <n v="1.3863529411764705E-2"/>
  </r>
  <r>
    <s v="O0427"/>
    <x v="249"/>
    <x v="0"/>
    <x v="1"/>
    <s v="P101"/>
    <n v="3"/>
    <n v="1735"/>
    <s v="Laptop"/>
    <x v="0"/>
    <n v="35000"/>
    <n v="5205"/>
    <n v="105000"/>
    <n v="-99795"/>
    <n v="880000"/>
    <n v="5.9147727272727268E-3"/>
  </r>
  <r>
    <s v="O0428"/>
    <x v="181"/>
    <x v="3"/>
    <x v="3"/>
    <s v="P108"/>
    <n v="12"/>
    <n v="5284"/>
    <s v="Shoes"/>
    <x v="2"/>
    <n v="2000"/>
    <n v="63408"/>
    <n v="24000"/>
    <n v="39408"/>
    <n v="800000"/>
    <n v="7.9259999999999997E-2"/>
  </r>
  <r>
    <s v="O0429"/>
    <x v="187"/>
    <x v="0"/>
    <x v="5"/>
    <s v="P102"/>
    <n v="12"/>
    <n v="3629"/>
    <s v="Mobile"/>
    <x v="0"/>
    <n v="18000"/>
    <n v="43548"/>
    <n v="216000"/>
    <n v="-172452"/>
    <n v="900000"/>
    <n v="4.8386666666666668E-2"/>
  </r>
  <r>
    <s v="O0430"/>
    <x v="181"/>
    <x v="2"/>
    <x v="0"/>
    <s v="P104"/>
    <n v="13"/>
    <n v="5449"/>
    <s v="Chair"/>
    <x v="1"/>
    <n v="2500"/>
    <n v="70837"/>
    <n v="32500"/>
    <n v="38337"/>
    <n v="920000"/>
    <n v="7.6996739130434783E-2"/>
  </r>
  <r>
    <s v="O0431"/>
    <x v="232"/>
    <x v="0"/>
    <x v="1"/>
    <s v="P106"/>
    <n v="11"/>
    <n v="2977"/>
    <s v="Sofa"/>
    <x v="1"/>
    <n v="15000"/>
    <n v="32747"/>
    <n v="165000"/>
    <n v="-132253"/>
    <n v="880000"/>
    <n v="3.7212500000000003E-2"/>
  </r>
  <r>
    <s v="O0432"/>
    <x v="32"/>
    <x v="3"/>
    <x v="5"/>
    <s v="P106"/>
    <n v="8"/>
    <n v="2039"/>
    <s v="Sofa"/>
    <x v="1"/>
    <n v="15000"/>
    <n v="16312"/>
    <n v="120000"/>
    <n v="-103688"/>
    <n v="900000"/>
    <n v="1.8124444444444443E-2"/>
  </r>
  <r>
    <s v="O0433"/>
    <x v="241"/>
    <x v="0"/>
    <x v="0"/>
    <s v="P108"/>
    <n v="11"/>
    <n v="5267"/>
    <s v="Shoes"/>
    <x v="2"/>
    <n v="2000"/>
    <n v="57937"/>
    <n v="22000"/>
    <n v="35937"/>
    <n v="920000"/>
    <n v="6.2975000000000003E-2"/>
  </r>
  <r>
    <s v="O0434"/>
    <x v="250"/>
    <x v="0"/>
    <x v="7"/>
    <s v="P108"/>
    <n v="4"/>
    <n v="6753"/>
    <s v="Shoes"/>
    <x v="2"/>
    <n v="2000"/>
    <n v="27012"/>
    <n v="8000"/>
    <n v="19012"/>
    <n v="870000"/>
    <n v="3.1048275862068965E-2"/>
  </r>
  <r>
    <s v="O0435"/>
    <x v="251"/>
    <x v="0"/>
    <x v="7"/>
    <s v="P103"/>
    <n v="14"/>
    <n v="4007"/>
    <s v="Headphones"/>
    <x v="0"/>
    <n v="2000"/>
    <n v="56098"/>
    <n v="28000"/>
    <n v="28098"/>
    <n v="870000"/>
    <n v="6.4480459770114948E-2"/>
  </r>
  <r>
    <s v="O0436"/>
    <x v="252"/>
    <x v="3"/>
    <x v="1"/>
    <s v="P101"/>
    <n v="4"/>
    <n v="1331"/>
    <s v="Laptop"/>
    <x v="0"/>
    <n v="35000"/>
    <n v="5324"/>
    <n v="140000"/>
    <n v="-134676"/>
    <n v="880000"/>
    <n v="6.0499999999999998E-3"/>
  </r>
  <r>
    <s v="O0437"/>
    <x v="91"/>
    <x v="2"/>
    <x v="6"/>
    <s v="P106"/>
    <n v="9"/>
    <n v="7756"/>
    <s v="Sofa"/>
    <x v="1"/>
    <n v="15000"/>
    <n v="69804"/>
    <n v="135000"/>
    <n v="-65196"/>
    <n v="890000"/>
    <n v="7.8431460674157308E-2"/>
  </r>
  <r>
    <s v="O0438"/>
    <x v="253"/>
    <x v="1"/>
    <x v="0"/>
    <s v="P103"/>
    <n v="3"/>
    <n v="3721"/>
    <s v="Headphones"/>
    <x v="0"/>
    <n v="2000"/>
    <n v="11163"/>
    <n v="6000"/>
    <n v="5163"/>
    <n v="920000"/>
    <n v="1.2133695652173914E-2"/>
  </r>
  <r>
    <s v="O0439"/>
    <x v="254"/>
    <x v="1"/>
    <x v="5"/>
    <s v="P104"/>
    <n v="11"/>
    <n v="5495"/>
    <s v="Chair"/>
    <x v="1"/>
    <n v="2500"/>
    <n v="60445"/>
    <n v="27500"/>
    <n v="32945"/>
    <n v="900000"/>
    <n v="6.7161111111111116E-2"/>
  </r>
  <r>
    <s v="O0440"/>
    <x v="255"/>
    <x v="1"/>
    <x v="5"/>
    <s v="P101"/>
    <n v="6"/>
    <n v="4915"/>
    <s v="Laptop"/>
    <x v="0"/>
    <n v="35000"/>
    <n v="29490"/>
    <n v="210000"/>
    <n v="-180510"/>
    <n v="900000"/>
    <n v="3.2766666666666666E-2"/>
  </r>
  <r>
    <s v="O0441"/>
    <x v="256"/>
    <x v="2"/>
    <x v="3"/>
    <s v="P104"/>
    <n v="4"/>
    <n v="5387"/>
    <s v="Chair"/>
    <x v="1"/>
    <n v="2500"/>
    <n v="21548"/>
    <n v="10000"/>
    <n v="11548"/>
    <n v="800000"/>
    <n v="2.6935000000000001E-2"/>
  </r>
  <r>
    <s v="O0442"/>
    <x v="74"/>
    <x v="1"/>
    <x v="2"/>
    <s v="P107"/>
    <n v="12"/>
    <n v="4142"/>
    <s v="Jacket"/>
    <x v="2"/>
    <n v="1500"/>
    <n v="49704"/>
    <n v="18000"/>
    <n v="31704"/>
    <n v="950000"/>
    <n v="5.2319999999999998E-2"/>
  </r>
  <r>
    <s v="O0443"/>
    <x v="4"/>
    <x v="3"/>
    <x v="0"/>
    <s v="P107"/>
    <n v="6"/>
    <n v="7481"/>
    <s v="Jacket"/>
    <x v="2"/>
    <n v="1500"/>
    <n v="44886"/>
    <n v="9000"/>
    <n v="35886"/>
    <n v="920000"/>
    <n v="4.8789130434782606E-2"/>
  </r>
  <r>
    <s v="O0444"/>
    <x v="224"/>
    <x v="2"/>
    <x v="0"/>
    <s v="P105"/>
    <n v="10"/>
    <n v="706"/>
    <s v="Table"/>
    <x v="1"/>
    <n v="7000"/>
    <n v="7060"/>
    <n v="70000"/>
    <n v="-62940"/>
    <n v="920000"/>
    <n v="7.673913043478261E-3"/>
  </r>
  <r>
    <s v="O0445"/>
    <x v="212"/>
    <x v="1"/>
    <x v="6"/>
    <s v="P103"/>
    <n v="2"/>
    <n v="2788"/>
    <s v="Headphones"/>
    <x v="0"/>
    <n v="2000"/>
    <n v="5576"/>
    <n v="4000"/>
    <n v="1576"/>
    <n v="890000"/>
    <n v="6.2651685393258424E-3"/>
  </r>
  <r>
    <s v="O0446"/>
    <x v="70"/>
    <x v="0"/>
    <x v="6"/>
    <s v="P103"/>
    <n v="13"/>
    <n v="664"/>
    <s v="Headphones"/>
    <x v="0"/>
    <n v="2000"/>
    <n v="8632"/>
    <n v="26000"/>
    <n v="-17368"/>
    <n v="890000"/>
    <n v="9.6988764044943828E-3"/>
  </r>
  <r>
    <s v="O0447"/>
    <x v="257"/>
    <x v="0"/>
    <x v="7"/>
    <s v="P101"/>
    <n v="1"/>
    <n v="3628"/>
    <s v="Laptop"/>
    <x v="0"/>
    <n v="35000"/>
    <n v="3628"/>
    <n v="35000"/>
    <n v="-31372"/>
    <n v="870000"/>
    <n v="4.1701149425287356E-3"/>
  </r>
  <r>
    <s v="O0448"/>
    <x v="123"/>
    <x v="1"/>
    <x v="5"/>
    <s v="P105"/>
    <n v="1"/>
    <n v="3622"/>
    <s v="Table"/>
    <x v="1"/>
    <n v="7000"/>
    <n v="3622"/>
    <n v="7000"/>
    <n v="-3378"/>
    <n v="900000"/>
    <n v="4.0244444444444442E-3"/>
  </r>
  <r>
    <s v="O0449"/>
    <x v="209"/>
    <x v="3"/>
    <x v="6"/>
    <s v="P105"/>
    <n v="8"/>
    <n v="1993"/>
    <s v="Table"/>
    <x v="1"/>
    <n v="7000"/>
    <n v="15944"/>
    <n v="56000"/>
    <n v="-40056"/>
    <n v="890000"/>
    <n v="1.7914606741573035E-2"/>
  </r>
  <r>
    <s v="O0450"/>
    <x v="258"/>
    <x v="3"/>
    <x v="7"/>
    <s v="P103"/>
    <n v="13"/>
    <n v="6015"/>
    <s v="Headphones"/>
    <x v="0"/>
    <n v="2000"/>
    <n v="78195"/>
    <n v="26000"/>
    <n v="52195"/>
    <n v="870000"/>
    <n v="8.9879310344827587E-2"/>
  </r>
  <r>
    <s v="O0451"/>
    <x v="34"/>
    <x v="3"/>
    <x v="5"/>
    <s v="P101"/>
    <n v="2"/>
    <n v="5917"/>
    <s v="Laptop"/>
    <x v="0"/>
    <n v="35000"/>
    <n v="11834"/>
    <n v="70000"/>
    <n v="-58166"/>
    <n v="900000"/>
    <n v="1.3148888888888889E-2"/>
  </r>
  <r>
    <s v="O0452"/>
    <x v="212"/>
    <x v="0"/>
    <x v="0"/>
    <s v="P105"/>
    <n v="6"/>
    <n v="3146"/>
    <s v="Table"/>
    <x v="1"/>
    <n v="7000"/>
    <n v="18876"/>
    <n v="42000"/>
    <n v="-23124"/>
    <n v="920000"/>
    <n v="2.0517391304347828E-2"/>
  </r>
  <r>
    <s v="O0453"/>
    <x v="177"/>
    <x v="2"/>
    <x v="2"/>
    <s v="P106"/>
    <n v="1"/>
    <n v="7677"/>
    <s v="Sofa"/>
    <x v="1"/>
    <n v="15000"/>
    <n v="7677"/>
    <n v="15000"/>
    <n v="-7323"/>
    <n v="950000"/>
    <n v="8.0810526315789472E-3"/>
  </r>
  <r>
    <s v="O0454"/>
    <x v="196"/>
    <x v="1"/>
    <x v="5"/>
    <s v="P106"/>
    <n v="1"/>
    <n v="5539"/>
    <s v="Sofa"/>
    <x v="1"/>
    <n v="15000"/>
    <n v="5539"/>
    <n v="15000"/>
    <n v="-9461"/>
    <n v="900000"/>
    <n v="6.1544444444444442E-3"/>
  </r>
  <r>
    <s v="O0455"/>
    <x v="39"/>
    <x v="3"/>
    <x v="0"/>
    <s v="P108"/>
    <n v="9"/>
    <n v="7123"/>
    <s v="Shoes"/>
    <x v="2"/>
    <n v="2000"/>
    <n v="64107"/>
    <n v="18000"/>
    <n v="46107"/>
    <n v="920000"/>
    <n v="6.9681521739130434E-2"/>
  </r>
  <r>
    <s v="O0456"/>
    <x v="217"/>
    <x v="2"/>
    <x v="1"/>
    <s v="P106"/>
    <n v="9"/>
    <n v="777"/>
    <s v="Sofa"/>
    <x v="1"/>
    <n v="15000"/>
    <n v="6993"/>
    <n v="135000"/>
    <n v="-128007"/>
    <n v="880000"/>
    <n v="7.9465909090909084E-3"/>
  </r>
  <r>
    <s v="O0457"/>
    <x v="213"/>
    <x v="3"/>
    <x v="4"/>
    <s v="P102"/>
    <n v="14"/>
    <n v="6557"/>
    <s v="Mobile"/>
    <x v="0"/>
    <n v="18000"/>
    <n v="91798"/>
    <n v="252000"/>
    <n v="-160202"/>
    <n v="850000"/>
    <n v="0.10799764705882353"/>
  </r>
  <r>
    <s v="O0458"/>
    <x v="171"/>
    <x v="3"/>
    <x v="3"/>
    <s v="P101"/>
    <n v="15"/>
    <n v="6691"/>
    <s v="Laptop"/>
    <x v="0"/>
    <n v="35000"/>
    <n v="100365"/>
    <n v="525000"/>
    <n v="-424635"/>
    <n v="800000"/>
    <n v="0.12545624999999999"/>
  </r>
  <r>
    <s v="O0459"/>
    <x v="136"/>
    <x v="3"/>
    <x v="6"/>
    <s v="P108"/>
    <n v="3"/>
    <n v="1675"/>
    <s v="Shoes"/>
    <x v="2"/>
    <n v="2000"/>
    <n v="5025"/>
    <n v="6000"/>
    <n v="-975"/>
    <n v="890000"/>
    <n v="5.6460674157303367E-3"/>
  </r>
  <r>
    <s v="O0460"/>
    <x v="95"/>
    <x v="3"/>
    <x v="1"/>
    <s v="P106"/>
    <n v="14"/>
    <n v="6552"/>
    <s v="Sofa"/>
    <x v="1"/>
    <n v="15000"/>
    <n v="91728"/>
    <n v="210000"/>
    <n v="-118272"/>
    <n v="880000"/>
    <n v="0.10423636363636364"/>
  </r>
  <r>
    <s v="O0461"/>
    <x v="259"/>
    <x v="1"/>
    <x v="0"/>
    <s v="P106"/>
    <n v="3"/>
    <n v="5898"/>
    <s v="Sofa"/>
    <x v="1"/>
    <n v="15000"/>
    <n v="17694"/>
    <n v="45000"/>
    <n v="-27306"/>
    <n v="920000"/>
    <n v="1.9232608695652173E-2"/>
  </r>
  <r>
    <s v="O0462"/>
    <x v="260"/>
    <x v="2"/>
    <x v="3"/>
    <s v="P102"/>
    <n v="8"/>
    <n v="2160"/>
    <s v="Mobile"/>
    <x v="0"/>
    <n v="18000"/>
    <n v="17280"/>
    <n v="144000"/>
    <n v="-126720"/>
    <n v="800000"/>
    <n v="2.1600000000000001E-2"/>
  </r>
  <r>
    <s v="O0463"/>
    <x v="175"/>
    <x v="2"/>
    <x v="1"/>
    <s v="P106"/>
    <n v="3"/>
    <n v="809"/>
    <s v="Sofa"/>
    <x v="1"/>
    <n v="15000"/>
    <n v="2427"/>
    <n v="45000"/>
    <n v="-42573"/>
    <n v="880000"/>
    <n v="2.7579545454545456E-3"/>
  </r>
  <r>
    <s v="O0464"/>
    <x v="172"/>
    <x v="1"/>
    <x v="1"/>
    <s v="P102"/>
    <n v="4"/>
    <n v="7941"/>
    <s v="Mobile"/>
    <x v="0"/>
    <n v="18000"/>
    <n v="31764"/>
    <n v="72000"/>
    <n v="-40236"/>
    <n v="880000"/>
    <n v="3.6095454545454549E-2"/>
  </r>
  <r>
    <s v="O0465"/>
    <x v="114"/>
    <x v="3"/>
    <x v="2"/>
    <s v="P102"/>
    <n v="5"/>
    <n v="1549"/>
    <s v="Mobile"/>
    <x v="0"/>
    <n v="18000"/>
    <n v="7745"/>
    <n v="90000"/>
    <n v="-82255"/>
    <n v="950000"/>
    <n v="8.1526315789473679E-3"/>
  </r>
  <r>
    <s v="O0466"/>
    <x v="218"/>
    <x v="3"/>
    <x v="7"/>
    <s v="P107"/>
    <n v="5"/>
    <n v="2264"/>
    <s v="Jacket"/>
    <x v="2"/>
    <n v="1500"/>
    <n v="11320"/>
    <n v="7500"/>
    <n v="3820"/>
    <n v="870000"/>
    <n v="1.3011494252873563E-2"/>
  </r>
  <r>
    <s v="O0467"/>
    <x v="50"/>
    <x v="2"/>
    <x v="7"/>
    <s v="P103"/>
    <n v="12"/>
    <n v="5861"/>
    <s v="Headphones"/>
    <x v="0"/>
    <n v="2000"/>
    <n v="70332"/>
    <n v="24000"/>
    <n v="46332"/>
    <n v="870000"/>
    <n v="8.0841379310344824E-2"/>
  </r>
  <r>
    <s v="O0468"/>
    <x v="83"/>
    <x v="0"/>
    <x v="7"/>
    <s v="P107"/>
    <n v="4"/>
    <n v="4030"/>
    <s v="Jacket"/>
    <x v="2"/>
    <n v="1500"/>
    <n v="16120"/>
    <n v="6000"/>
    <n v="10120"/>
    <n v="870000"/>
    <n v="1.8528735632183907E-2"/>
  </r>
  <r>
    <s v="O0469"/>
    <x v="93"/>
    <x v="1"/>
    <x v="2"/>
    <s v="P106"/>
    <n v="6"/>
    <n v="3684"/>
    <s v="Sofa"/>
    <x v="1"/>
    <n v="15000"/>
    <n v="22104"/>
    <n v="90000"/>
    <n v="-67896"/>
    <n v="950000"/>
    <n v="2.326736842105263E-2"/>
  </r>
  <r>
    <s v="O0470"/>
    <x v="239"/>
    <x v="3"/>
    <x v="2"/>
    <s v="P104"/>
    <n v="10"/>
    <n v="1707"/>
    <s v="Chair"/>
    <x v="1"/>
    <n v="2500"/>
    <n v="17070"/>
    <n v="25000"/>
    <n v="-7930"/>
    <n v="950000"/>
    <n v="1.7968421052631578E-2"/>
  </r>
  <r>
    <s v="O0471"/>
    <x v="60"/>
    <x v="2"/>
    <x v="5"/>
    <s v="P102"/>
    <n v="5"/>
    <n v="7903"/>
    <s v="Mobile"/>
    <x v="0"/>
    <n v="18000"/>
    <n v="39515"/>
    <n v="90000"/>
    <n v="-50485"/>
    <n v="900000"/>
    <n v="4.3905555555555559E-2"/>
  </r>
  <r>
    <s v="O0472"/>
    <x v="86"/>
    <x v="1"/>
    <x v="4"/>
    <s v="P101"/>
    <n v="5"/>
    <n v="7201"/>
    <s v="Laptop"/>
    <x v="0"/>
    <n v="35000"/>
    <n v="36005"/>
    <n v="175000"/>
    <n v="-138995"/>
    <n v="850000"/>
    <n v="4.2358823529411761E-2"/>
  </r>
  <r>
    <s v="O0473"/>
    <x v="82"/>
    <x v="0"/>
    <x v="6"/>
    <s v="P101"/>
    <n v="3"/>
    <n v="5111"/>
    <s v="Laptop"/>
    <x v="0"/>
    <n v="35000"/>
    <n v="15333"/>
    <n v="105000"/>
    <n v="-89667"/>
    <n v="890000"/>
    <n v="1.7228089887640449E-2"/>
  </r>
  <r>
    <s v="O0474"/>
    <x v="84"/>
    <x v="0"/>
    <x v="5"/>
    <s v="P103"/>
    <n v="13"/>
    <n v="798"/>
    <s v="Headphones"/>
    <x v="0"/>
    <n v="2000"/>
    <n v="10374"/>
    <n v="26000"/>
    <n v="-15626"/>
    <n v="900000"/>
    <n v="1.1526666666666666E-2"/>
  </r>
  <r>
    <s v="O0475"/>
    <x v="252"/>
    <x v="1"/>
    <x v="5"/>
    <s v="P105"/>
    <n v="14"/>
    <n v="4626"/>
    <s v="Table"/>
    <x v="1"/>
    <n v="7000"/>
    <n v="64764"/>
    <n v="98000"/>
    <n v="-33236"/>
    <n v="900000"/>
    <n v="7.1959999999999996E-2"/>
  </r>
  <r>
    <s v="O0476"/>
    <x v="147"/>
    <x v="3"/>
    <x v="1"/>
    <s v="P105"/>
    <n v="13"/>
    <n v="4951"/>
    <s v="Table"/>
    <x v="1"/>
    <n v="7000"/>
    <n v="64363"/>
    <n v="91000"/>
    <n v="-26637"/>
    <n v="880000"/>
    <n v="7.3139772727272734E-2"/>
  </r>
  <r>
    <s v="O0477"/>
    <x v="261"/>
    <x v="1"/>
    <x v="1"/>
    <s v="P102"/>
    <n v="15"/>
    <n v="7491"/>
    <s v="Mobile"/>
    <x v="0"/>
    <n v="18000"/>
    <n v="112365"/>
    <n v="270000"/>
    <n v="-157635"/>
    <n v="880000"/>
    <n v="0.12768750000000001"/>
  </r>
  <r>
    <s v="O0478"/>
    <x v="262"/>
    <x v="1"/>
    <x v="7"/>
    <s v="P108"/>
    <n v="6"/>
    <n v="2368"/>
    <s v="Shoes"/>
    <x v="2"/>
    <n v="2000"/>
    <n v="14208"/>
    <n v="12000"/>
    <n v="2208"/>
    <n v="870000"/>
    <n v="1.6331034482758619E-2"/>
  </r>
  <r>
    <s v="O0479"/>
    <x v="263"/>
    <x v="0"/>
    <x v="2"/>
    <s v="P107"/>
    <n v="4"/>
    <n v="2295"/>
    <s v="Jacket"/>
    <x v="2"/>
    <n v="1500"/>
    <n v="9180"/>
    <n v="6000"/>
    <n v="3180"/>
    <n v="950000"/>
    <n v="9.6631578947368423E-3"/>
  </r>
  <r>
    <s v="O0480"/>
    <x v="118"/>
    <x v="1"/>
    <x v="7"/>
    <s v="P108"/>
    <n v="7"/>
    <n v="6200"/>
    <s v="Shoes"/>
    <x v="2"/>
    <n v="2000"/>
    <n v="43400"/>
    <n v="14000"/>
    <n v="29400"/>
    <n v="870000"/>
    <n v="4.9885057471264371E-2"/>
  </r>
  <r>
    <s v="O0481"/>
    <x v="198"/>
    <x v="3"/>
    <x v="0"/>
    <s v="P108"/>
    <n v="7"/>
    <n v="1273"/>
    <s v="Shoes"/>
    <x v="2"/>
    <n v="2000"/>
    <n v="8911"/>
    <n v="14000"/>
    <n v="-5089"/>
    <n v="920000"/>
    <n v="9.6858695652173917E-3"/>
  </r>
  <r>
    <s v="O0482"/>
    <x v="76"/>
    <x v="3"/>
    <x v="0"/>
    <s v="P108"/>
    <n v="13"/>
    <n v="4876"/>
    <s v="Shoes"/>
    <x v="2"/>
    <n v="2000"/>
    <n v="63388"/>
    <n v="26000"/>
    <n v="37388"/>
    <n v="920000"/>
    <n v="6.8900000000000003E-2"/>
  </r>
  <r>
    <s v="O0483"/>
    <x v="264"/>
    <x v="3"/>
    <x v="7"/>
    <s v="P104"/>
    <n v="1"/>
    <n v="848"/>
    <s v="Chair"/>
    <x v="1"/>
    <n v="2500"/>
    <n v="848"/>
    <n v="2500"/>
    <n v="-1652"/>
    <n v="870000"/>
    <n v="9.7471264367816088E-4"/>
  </r>
  <r>
    <s v="O0484"/>
    <x v="238"/>
    <x v="0"/>
    <x v="6"/>
    <s v="P104"/>
    <n v="6"/>
    <n v="7549"/>
    <s v="Chair"/>
    <x v="1"/>
    <n v="2500"/>
    <n v="45294"/>
    <n v="15000"/>
    <n v="30294"/>
    <n v="890000"/>
    <n v="5.0892134831460677E-2"/>
  </r>
  <r>
    <s v="O0485"/>
    <x v="265"/>
    <x v="3"/>
    <x v="2"/>
    <s v="P102"/>
    <n v="1"/>
    <n v="5790"/>
    <s v="Mobile"/>
    <x v="0"/>
    <n v="18000"/>
    <n v="5790"/>
    <n v="18000"/>
    <n v="-12210"/>
    <n v="950000"/>
    <n v="6.094736842105263E-3"/>
  </r>
  <r>
    <s v="O0486"/>
    <x v="262"/>
    <x v="1"/>
    <x v="0"/>
    <s v="P107"/>
    <n v="13"/>
    <n v="2919"/>
    <s v="Jacket"/>
    <x v="2"/>
    <n v="1500"/>
    <n v="37947"/>
    <n v="19500"/>
    <n v="18447"/>
    <n v="920000"/>
    <n v="4.1246739130434786E-2"/>
  </r>
  <r>
    <s v="O0487"/>
    <x v="49"/>
    <x v="1"/>
    <x v="6"/>
    <s v="P103"/>
    <n v="8"/>
    <n v="7873"/>
    <s v="Headphones"/>
    <x v="0"/>
    <n v="2000"/>
    <n v="62984"/>
    <n v="16000"/>
    <n v="46984"/>
    <n v="890000"/>
    <n v="7.0768539325842691E-2"/>
  </r>
  <r>
    <s v="O0488"/>
    <x v="266"/>
    <x v="0"/>
    <x v="4"/>
    <s v="P102"/>
    <n v="6"/>
    <n v="958"/>
    <s v="Mobile"/>
    <x v="0"/>
    <n v="18000"/>
    <n v="5748"/>
    <n v="108000"/>
    <n v="-102252"/>
    <n v="850000"/>
    <n v="6.7623529411764702E-3"/>
  </r>
  <r>
    <s v="O0489"/>
    <x v="194"/>
    <x v="1"/>
    <x v="3"/>
    <s v="P103"/>
    <n v="3"/>
    <n v="4747"/>
    <s v="Headphones"/>
    <x v="0"/>
    <n v="2000"/>
    <n v="14241"/>
    <n v="6000"/>
    <n v="8241"/>
    <n v="800000"/>
    <n v="1.7801250000000001E-2"/>
  </r>
  <r>
    <s v="O0490"/>
    <x v="267"/>
    <x v="0"/>
    <x v="2"/>
    <s v="P103"/>
    <n v="4"/>
    <n v="2342"/>
    <s v="Headphones"/>
    <x v="0"/>
    <n v="2000"/>
    <n v="9368"/>
    <n v="8000"/>
    <n v="1368"/>
    <n v="950000"/>
    <n v="9.8610526315789475E-3"/>
  </r>
  <r>
    <s v="O0491"/>
    <x v="268"/>
    <x v="1"/>
    <x v="3"/>
    <s v="P105"/>
    <n v="6"/>
    <n v="4483"/>
    <s v="Table"/>
    <x v="1"/>
    <n v="7000"/>
    <n v="26898"/>
    <n v="42000"/>
    <n v="-15102"/>
    <n v="800000"/>
    <n v="3.36225E-2"/>
  </r>
  <r>
    <s v="O0492"/>
    <x v="149"/>
    <x v="0"/>
    <x v="6"/>
    <s v="P106"/>
    <n v="7"/>
    <n v="815"/>
    <s v="Sofa"/>
    <x v="1"/>
    <n v="15000"/>
    <n v="5705"/>
    <n v="105000"/>
    <n v="-99295"/>
    <n v="890000"/>
    <n v="6.410112359550562E-3"/>
  </r>
  <r>
    <s v="O0493"/>
    <x v="61"/>
    <x v="3"/>
    <x v="7"/>
    <s v="P108"/>
    <n v="9"/>
    <n v="1016"/>
    <s v="Shoes"/>
    <x v="2"/>
    <n v="2000"/>
    <n v="9144"/>
    <n v="18000"/>
    <n v="-8856"/>
    <n v="870000"/>
    <n v="1.0510344827586207E-2"/>
  </r>
  <r>
    <s v="O0494"/>
    <x v="71"/>
    <x v="0"/>
    <x v="0"/>
    <s v="P104"/>
    <n v="11"/>
    <n v="7606"/>
    <s v="Chair"/>
    <x v="1"/>
    <n v="2500"/>
    <n v="83666"/>
    <n v="27500"/>
    <n v="56166"/>
    <n v="920000"/>
    <n v="9.0941304347826088E-2"/>
  </r>
  <r>
    <s v="O0495"/>
    <x v="254"/>
    <x v="1"/>
    <x v="5"/>
    <s v="P104"/>
    <n v="9"/>
    <n v="4483"/>
    <s v="Chair"/>
    <x v="1"/>
    <n v="2500"/>
    <n v="40347"/>
    <n v="22500"/>
    <n v="17847"/>
    <n v="900000"/>
    <n v="4.4830000000000002E-2"/>
  </r>
  <r>
    <s v="O0496"/>
    <x v="110"/>
    <x v="1"/>
    <x v="2"/>
    <s v="P108"/>
    <n v="15"/>
    <n v="6084"/>
    <s v="Shoes"/>
    <x v="2"/>
    <n v="2000"/>
    <n v="91260"/>
    <n v="30000"/>
    <n v="61260"/>
    <n v="950000"/>
    <n v="9.6063157894736836E-2"/>
  </r>
  <r>
    <s v="O0497"/>
    <x v="23"/>
    <x v="3"/>
    <x v="7"/>
    <s v="P103"/>
    <n v="7"/>
    <n v="2431"/>
    <s v="Headphones"/>
    <x v="0"/>
    <n v="2000"/>
    <n v="17017"/>
    <n v="14000"/>
    <n v="3017"/>
    <n v="870000"/>
    <n v="1.9559770114942528E-2"/>
  </r>
  <r>
    <s v="O0498"/>
    <x v="269"/>
    <x v="2"/>
    <x v="0"/>
    <s v="P108"/>
    <n v="10"/>
    <n v="2502"/>
    <s v="Shoes"/>
    <x v="2"/>
    <n v="2000"/>
    <n v="25020"/>
    <n v="20000"/>
    <n v="5020"/>
    <n v="920000"/>
    <n v="2.7195652173913044E-2"/>
  </r>
  <r>
    <s v="O0499"/>
    <x v="247"/>
    <x v="0"/>
    <x v="4"/>
    <s v="P102"/>
    <n v="4"/>
    <n v="5564"/>
    <s v="Mobile"/>
    <x v="0"/>
    <n v="18000"/>
    <n v="22256"/>
    <n v="72000"/>
    <n v="-49744"/>
    <n v="850000"/>
    <n v="2.6183529411764706E-2"/>
  </r>
  <r>
    <s v="O0500"/>
    <x v="11"/>
    <x v="1"/>
    <x v="7"/>
    <s v="P104"/>
    <n v="14"/>
    <n v="4030"/>
    <s v="Chair"/>
    <x v="1"/>
    <n v="2500"/>
    <n v="56420"/>
    <n v="35000"/>
    <n v="21420"/>
    <n v="870000"/>
    <n v="6.4850574712643674E-2"/>
  </r>
  <r>
    <s v="O0501"/>
    <x v="92"/>
    <x v="0"/>
    <x v="4"/>
    <s v="P102"/>
    <n v="13"/>
    <n v="2249"/>
    <s v="Mobile"/>
    <x v="0"/>
    <n v="18000"/>
    <n v="29237"/>
    <n v="234000"/>
    <n v="-204763"/>
    <n v="850000"/>
    <n v="3.4396470588235292E-2"/>
  </r>
  <r>
    <s v="O0502"/>
    <x v="270"/>
    <x v="0"/>
    <x v="4"/>
    <s v="P102"/>
    <n v="2"/>
    <n v="5969"/>
    <s v="Mobile"/>
    <x v="0"/>
    <n v="18000"/>
    <n v="11938"/>
    <n v="36000"/>
    <n v="-24062"/>
    <n v="850000"/>
    <n v="1.4044705882352942E-2"/>
  </r>
  <r>
    <s v="O0503"/>
    <x v="271"/>
    <x v="0"/>
    <x v="7"/>
    <s v="P105"/>
    <n v="5"/>
    <n v="6573"/>
    <s v="Table"/>
    <x v="1"/>
    <n v="7000"/>
    <n v="32865"/>
    <n v="35000"/>
    <n v="-2135"/>
    <n v="870000"/>
    <n v="3.7775862068965514E-2"/>
  </r>
  <r>
    <s v="O0504"/>
    <x v="230"/>
    <x v="2"/>
    <x v="7"/>
    <s v="P107"/>
    <n v="10"/>
    <n v="6997"/>
    <s v="Jacket"/>
    <x v="2"/>
    <n v="1500"/>
    <n v="69970"/>
    <n v="15000"/>
    <n v="54970"/>
    <n v="870000"/>
    <n v="8.0425287356321845E-2"/>
  </r>
  <r>
    <s v="O0505"/>
    <x v="272"/>
    <x v="2"/>
    <x v="2"/>
    <s v="P104"/>
    <n v="14"/>
    <n v="7228"/>
    <s v="Chair"/>
    <x v="1"/>
    <n v="2500"/>
    <n v="101192"/>
    <n v="35000"/>
    <n v="66192"/>
    <n v="950000"/>
    <n v="0.1065178947368421"/>
  </r>
  <r>
    <s v="O0506"/>
    <x v="137"/>
    <x v="0"/>
    <x v="4"/>
    <s v="P108"/>
    <n v="4"/>
    <n v="7651"/>
    <s v="Shoes"/>
    <x v="2"/>
    <n v="2000"/>
    <n v="30604"/>
    <n v="8000"/>
    <n v="22604"/>
    <n v="850000"/>
    <n v="3.6004705882352939E-2"/>
  </r>
  <r>
    <s v="O0507"/>
    <x v="235"/>
    <x v="1"/>
    <x v="2"/>
    <s v="P106"/>
    <n v="9"/>
    <n v="4825"/>
    <s v="Sofa"/>
    <x v="1"/>
    <n v="15000"/>
    <n v="43425"/>
    <n v="135000"/>
    <n v="-91575"/>
    <n v="950000"/>
    <n v="4.5710526315789472E-2"/>
  </r>
  <r>
    <s v="O0508"/>
    <x v="271"/>
    <x v="2"/>
    <x v="2"/>
    <s v="P105"/>
    <n v="14"/>
    <n v="634"/>
    <s v="Table"/>
    <x v="1"/>
    <n v="7000"/>
    <n v="8876"/>
    <n v="98000"/>
    <n v="-89124"/>
    <n v="950000"/>
    <n v="9.3431578947368414E-3"/>
  </r>
  <r>
    <s v="O0509"/>
    <x v="70"/>
    <x v="0"/>
    <x v="7"/>
    <s v="P105"/>
    <n v="15"/>
    <n v="750"/>
    <s v="Table"/>
    <x v="1"/>
    <n v="7000"/>
    <n v="11250"/>
    <n v="105000"/>
    <n v="-93750"/>
    <n v="870000"/>
    <n v="1.2931034482758621E-2"/>
  </r>
  <r>
    <s v="O0510"/>
    <x v="252"/>
    <x v="2"/>
    <x v="7"/>
    <s v="P108"/>
    <n v="15"/>
    <n v="3496"/>
    <s v="Shoes"/>
    <x v="2"/>
    <n v="2000"/>
    <n v="52440"/>
    <n v="30000"/>
    <n v="22440"/>
    <n v="870000"/>
    <n v="6.027586206896552E-2"/>
  </r>
  <r>
    <s v="O0511"/>
    <x v="23"/>
    <x v="2"/>
    <x v="5"/>
    <s v="P106"/>
    <n v="11"/>
    <n v="957"/>
    <s v="Sofa"/>
    <x v="1"/>
    <n v="15000"/>
    <n v="10527"/>
    <n v="165000"/>
    <n v="-154473"/>
    <n v="900000"/>
    <n v="1.1696666666666666E-2"/>
  </r>
  <r>
    <s v="O0512"/>
    <x v="273"/>
    <x v="0"/>
    <x v="2"/>
    <s v="P103"/>
    <n v="3"/>
    <n v="4069"/>
    <s v="Headphones"/>
    <x v="0"/>
    <n v="2000"/>
    <n v="12207"/>
    <n v="6000"/>
    <n v="6207"/>
    <n v="950000"/>
    <n v="1.2849473684210527E-2"/>
  </r>
  <r>
    <s v="O0513"/>
    <x v="64"/>
    <x v="2"/>
    <x v="6"/>
    <s v="P107"/>
    <n v="11"/>
    <n v="942"/>
    <s v="Jacket"/>
    <x v="2"/>
    <n v="1500"/>
    <n v="10362"/>
    <n v="16500"/>
    <n v="-6138"/>
    <n v="890000"/>
    <n v="1.1642696629213483E-2"/>
  </r>
  <r>
    <s v="O0514"/>
    <x v="14"/>
    <x v="1"/>
    <x v="0"/>
    <s v="P104"/>
    <n v="11"/>
    <n v="1093"/>
    <s v="Chair"/>
    <x v="1"/>
    <n v="2500"/>
    <n v="12023"/>
    <n v="27500"/>
    <n v="-15477"/>
    <n v="920000"/>
    <n v="1.3068478260869565E-2"/>
  </r>
  <r>
    <s v="O0515"/>
    <x v="96"/>
    <x v="3"/>
    <x v="0"/>
    <s v="P108"/>
    <n v="6"/>
    <n v="7733"/>
    <s v="Shoes"/>
    <x v="2"/>
    <n v="2000"/>
    <n v="46398"/>
    <n v="12000"/>
    <n v="34398"/>
    <n v="920000"/>
    <n v="5.0432608695652172E-2"/>
  </r>
  <r>
    <s v="O0516"/>
    <x v="274"/>
    <x v="1"/>
    <x v="5"/>
    <s v="P108"/>
    <n v="3"/>
    <n v="7695"/>
    <s v="Shoes"/>
    <x v="2"/>
    <n v="2000"/>
    <n v="23085"/>
    <n v="6000"/>
    <n v="17085"/>
    <n v="900000"/>
    <n v="2.5649999999999999E-2"/>
  </r>
  <r>
    <s v="O0517"/>
    <x v="274"/>
    <x v="3"/>
    <x v="0"/>
    <s v="P101"/>
    <n v="9"/>
    <n v="6114"/>
    <s v="Laptop"/>
    <x v="0"/>
    <n v="35000"/>
    <n v="55026"/>
    <n v="315000"/>
    <n v="-259974"/>
    <n v="920000"/>
    <n v="5.9810869565217389E-2"/>
  </r>
  <r>
    <s v="O0518"/>
    <x v="95"/>
    <x v="1"/>
    <x v="5"/>
    <s v="P106"/>
    <n v="3"/>
    <n v="7742"/>
    <s v="Sofa"/>
    <x v="1"/>
    <n v="15000"/>
    <n v="23226"/>
    <n v="45000"/>
    <n v="-21774"/>
    <n v="900000"/>
    <n v="2.5806666666666665E-2"/>
  </r>
  <r>
    <s v="O0519"/>
    <x v="275"/>
    <x v="2"/>
    <x v="4"/>
    <s v="P103"/>
    <n v="2"/>
    <n v="4352"/>
    <s v="Headphones"/>
    <x v="0"/>
    <n v="2000"/>
    <n v="8704"/>
    <n v="4000"/>
    <n v="4704"/>
    <n v="850000"/>
    <n v="1.0240000000000001E-2"/>
  </r>
  <r>
    <s v="O0520"/>
    <x v="227"/>
    <x v="1"/>
    <x v="1"/>
    <s v="P104"/>
    <n v="8"/>
    <n v="822"/>
    <s v="Chair"/>
    <x v="1"/>
    <n v="2500"/>
    <n v="6576"/>
    <n v="20000"/>
    <n v="-13424"/>
    <n v="880000"/>
    <n v="7.4727272727272724E-3"/>
  </r>
  <r>
    <s v="O0521"/>
    <x v="133"/>
    <x v="3"/>
    <x v="7"/>
    <s v="P108"/>
    <n v="7"/>
    <n v="5786"/>
    <s v="Shoes"/>
    <x v="2"/>
    <n v="2000"/>
    <n v="40502"/>
    <n v="14000"/>
    <n v="26502"/>
    <n v="870000"/>
    <n v="4.655402298850575E-2"/>
  </r>
  <r>
    <s v="O0522"/>
    <x v="172"/>
    <x v="0"/>
    <x v="5"/>
    <s v="P102"/>
    <n v="1"/>
    <n v="5975"/>
    <s v="Mobile"/>
    <x v="0"/>
    <n v="18000"/>
    <n v="5975"/>
    <n v="18000"/>
    <n v="-12025"/>
    <n v="900000"/>
    <n v="6.6388888888888886E-3"/>
  </r>
  <r>
    <s v="O0523"/>
    <x v="64"/>
    <x v="1"/>
    <x v="2"/>
    <s v="P106"/>
    <n v="15"/>
    <n v="6965"/>
    <s v="Sofa"/>
    <x v="1"/>
    <n v="15000"/>
    <n v="104475"/>
    <n v="225000"/>
    <n v="-120525"/>
    <n v="950000"/>
    <n v="0.10997368421052632"/>
  </r>
  <r>
    <s v="O0524"/>
    <x v="201"/>
    <x v="2"/>
    <x v="2"/>
    <s v="P101"/>
    <n v="9"/>
    <n v="7104"/>
    <s v="Laptop"/>
    <x v="0"/>
    <n v="35000"/>
    <n v="63936"/>
    <n v="315000"/>
    <n v="-251064"/>
    <n v="950000"/>
    <n v="6.7301052631578942E-2"/>
  </r>
  <r>
    <s v="O0525"/>
    <x v="152"/>
    <x v="3"/>
    <x v="4"/>
    <s v="P102"/>
    <n v="1"/>
    <n v="7851"/>
    <s v="Mobile"/>
    <x v="0"/>
    <n v="18000"/>
    <n v="7851"/>
    <n v="18000"/>
    <n v="-10149"/>
    <n v="850000"/>
    <n v="9.2364705882352939E-3"/>
  </r>
  <r>
    <s v="O0526"/>
    <x v="276"/>
    <x v="2"/>
    <x v="2"/>
    <s v="P106"/>
    <n v="15"/>
    <n v="3025"/>
    <s v="Sofa"/>
    <x v="1"/>
    <n v="15000"/>
    <n v="45375"/>
    <n v="225000"/>
    <n v="-179625"/>
    <n v="950000"/>
    <n v="4.7763157894736841E-2"/>
  </r>
  <r>
    <s v="O0527"/>
    <x v="62"/>
    <x v="0"/>
    <x v="6"/>
    <s v="P108"/>
    <n v="9"/>
    <n v="4111"/>
    <s v="Shoes"/>
    <x v="2"/>
    <n v="2000"/>
    <n v="36999"/>
    <n v="18000"/>
    <n v="18999"/>
    <n v="890000"/>
    <n v="4.1571910112359549E-2"/>
  </r>
  <r>
    <s v="O0528"/>
    <x v="277"/>
    <x v="3"/>
    <x v="0"/>
    <s v="P102"/>
    <n v="2"/>
    <n v="5539"/>
    <s v="Mobile"/>
    <x v="0"/>
    <n v="18000"/>
    <n v="11078"/>
    <n v="36000"/>
    <n v="-24922"/>
    <n v="920000"/>
    <n v="1.2041304347826087E-2"/>
  </r>
  <r>
    <s v="O0529"/>
    <x v="208"/>
    <x v="3"/>
    <x v="2"/>
    <s v="P101"/>
    <n v="8"/>
    <n v="5038"/>
    <s v="Laptop"/>
    <x v="0"/>
    <n v="35000"/>
    <n v="40304"/>
    <n v="280000"/>
    <n v="-239696"/>
    <n v="950000"/>
    <n v="4.2425263157894737E-2"/>
  </r>
  <r>
    <s v="O0530"/>
    <x v="278"/>
    <x v="3"/>
    <x v="1"/>
    <s v="P103"/>
    <n v="1"/>
    <n v="1646"/>
    <s v="Headphones"/>
    <x v="0"/>
    <n v="2000"/>
    <n v="1646"/>
    <n v="2000"/>
    <n v="-354"/>
    <n v="880000"/>
    <n v="1.8704545454545454E-3"/>
  </r>
  <r>
    <s v="O0531"/>
    <x v="235"/>
    <x v="2"/>
    <x v="1"/>
    <s v="P102"/>
    <n v="12"/>
    <n v="6487"/>
    <s v="Mobile"/>
    <x v="0"/>
    <n v="18000"/>
    <n v="77844"/>
    <n v="216000"/>
    <n v="-138156"/>
    <n v="880000"/>
    <n v="8.8459090909090904E-2"/>
  </r>
  <r>
    <s v="O0532"/>
    <x v="56"/>
    <x v="1"/>
    <x v="0"/>
    <s v="P105"/>
    <n v="5"/>
    <n v="6110"/>
    <s v="Table"/>
    <x v="1"/>
    <n v="7000"/>
    <n v="30550"/>
    <n v="35000"/>
    <n v="-4450"/>
    <n v="920000"/>
    <n v="3.3206521739130433E-2"/>
  </r>
  <r>
    <s v="O0533"/>
    <x v="27"/>
    <x v="1"/>
    <x v="2"/>
    <s v="P104"/>
    <n v="5"/>
    <n v="979"/>
    <s v="Chair"/>
    <x v="1"/>
    <n v="2500"/>
    <n v="4895"/>
    <n v="12500"/>
    <n v="-7605"/>
    <n v="950000"/>
    <n v="5.1526315789473687E-3"/>
  </r>
  <r>
    <s v="O0534"/>
    <x v="54"/>
    <x v="2"/>
    <x v="7"/>
    <s v="P106"/>
    <n v="1"/>
    <n v="4173"/>
    <s v="Sofa"/>
    <x v="1"/>
    <n v="15000"/>
    <n v="4173"/>
    <n v="15000"/>
    <n v="-10827"/>
    <n v="870000"/>
    <n v="4.7965517241379306E-3"/>
  </r>
  <r>
    <s v="O0535"/>
    <x v="122"/>
    <x v="3"/>
    <x v="2"/>
    <s v="P103"/>
    <n v="15"/>
    <n v="1851"/>
    <s v="Headphones"/>
    <x v="0"/>
    <n v="2000"/>
    <n v="27765"/>
    <n v="30000"/>
    <n v="-2235"/>
    <n v="950000"/>
    <n v="2.9226315789473684E-2"/>
  </r>
  <r>
    <s v="O0536"/>
    <x v="18"/>
    <x v="1"/>
    <x v="5"/>
    <s v="P108"/>
    <n v="3"/>
    <n v="1667"/>
    <s v="Shoes"/>
    <x v="2"/>
    <n v="2000"/>
    <n v="5001"/>
    <n v="6000"/>
    <n v="-999"/>
    <n v="900000"/>
    <n v="5.5566666666666664E-3"/>
  </r>
  <r>
    <s v="O0537"/>
    <x v="60"/>
    <x v="2"/>
    <x v="1"/>
    <s v="P101"/>
    <n v="8"/>
    <n v="7335"/>
    <s v="Laptop"/>
    <x v="0"/>
    <n v="35000"/>
    <n v="58680"/>
    <n v="280000"/>
    <n v="-221320"/>
    <n v="880000"/>
    <n v="6.6681818181818175E-2"/>
  </r>
  <r>
    <s v="O0538"/>
    <x v="67"/>
    <x v="1"/>
    <x v="3"/>
    <s v="P103"/>
    <n v="13"/>
    <n v="2524"/>
    <s v="Headphones"/>
    <x v="0"/>
    <n v="2000"/>
    <n v="32812"/>
    <n v="26000"/>
    <n v="6812"/>
    <n v="800000"/>
    <n v="4.1015000000000003E-2"/>
  </r>
  <r>
    <s v="O0539"/>
    <x v="279"/>
    <x v="2"/>
    <x v="6"/>
    <s v="P103"/>
    <n v="5"/>
    <n v="1166"/>
    <s v="Headphones"/>
    <x v="0"/>
    <n v="2000"/>
    <n v="5830"/>
    <n v="10000"/>
    <n v="-4170"/>
    <n v="890000"/>
    <n v="6.550561797752809E-3"/>
  </r>
  <r>
    <s v="O0540"/>
    <x v="207"/>
    <x v="2"/>
    <x v="0"/>
    <s v="P106"/>
    <n v="2"/>
    <n v="2883"/>
    <s v="Sofa"/>
    <x v="1"/>
    <n v="15000"/>
    <n v="5766"/>
    <n v="30000"/>
    <n v="-24234"/>
    <n v="920000"/>
    <n v="6.2673913043478262E-3"/>
  </r>
  <r>
    <s v="O0541"/>
    <x v="280"/>
    <x v="1"/>
    <x v="1"/>
    <s v="P108"/>
    <n v="1"/>
    <n v="3220"/>
    <s v="Shoes"/>
    <x v="2"/>
    <n v="2000"/>
    <n v="3220"/>
    <n v="2000"/>
    <n v="1220"/>
    <n v="880000"/>
    <n v="3.6590909090909091E-3"/>
  </r>
  <r>
    <s v="O0542"/>
    <x v="234"/>
    <x v="1"/>
    <x v="6"/>
    <s v="P101"/>
    <n v="7"/>
    <n v="5820"/>
    <s v="Laptop"/>
    <x v="0"/>
    <n v="35000"/>
    <n v="40740"/>
    <n v="245000"/>
    <n v="-204260"/>
    <n v="890000"/>
    <n v="4.5775280898876405E-2"/>
  </r>
  <r>
    <s v="O0543"/>
    <x v="281"/>
    <x v="1"/>
    <x v="5"/>
    <s v="P103"/>
    <n v="4"/>
    <n v="3398"/>
    <s v="Headphones"/>
    <x v="0"/>
    <n v="2000"/>
    <n v="13592"/>
    <n v="8000"/>
    <n v="5592"/>
    <n v="900000"/>
    <n v="1.5102222222222222E-2"/>
  </r>
  <r>
    <s v="O0544"/>
    <x v="282"/>
    <x v="3"/>
    <x v="1"/>
    <s v="P107"/>
    <n v="9"/>
    <n v="6246"/>
    <s v="Jacket"/>
    <x v="2"/>
    <n v="1500"/>
    <n v="56214"/>
    <n v="13500"/>
    <n v="42714"/>
    <n v="880000"/>
    <n v="6.3879545454545453E-2"/>
  </r>
  <r>
    <s v="O0545"/>
    <x v="247"/>
    <x v="1"/>
    <x v="0"/>
    <s v="P106"/>
    <n v="13"/>
    <n v="2095"/>
    <s v="Sofa"/>
    <x v="1"/>
    <n v="15000"/>
    <n v="27235"/>
    <n v="195000"/>
    <n v="-167765"/>
    <n v="920000"/>
    <n v="2.9603260869565218E-2"/>
  </r>
  <r>
    <s v="O0546"/>
    <x v="125"/>
    <x v="0"/>
    <x v="6"/>
    <s v="P103"/>
    <n v="2"/>
    <n v="3028"/>
    <s v="Headphones"/>
    <x v="0"/>
    <n v="2000"/>
    <n v="6056"/>
    <n v="4000"/>
    <n v="2056"/>
    <n v="890000"/>
    <n v="6.8044943820224722E-3"/>
  </r>
  <r>
    <s v="O0547"/>
    <x v="205"/>
    <x v="1"/>
    <x v="4"/>
    <s v="P105"/>
    <n v="7"/>
    <n v="2114"/>
    <s v="Table"/>
    <x v="1"/>
    <n v="7000"/>
    <n v="14798"/>
    <n v="49000"/>
    <n v="-34202"/>
    <n v="850000"/>
    <n v="1.7409411764705882E-2"/>
  </r>
  <r>
    <s v="O0548"/>
    <x v="283"/>
    <x v="3"/>
    <x v="6"/>
    <s v="P104"/>
    <n v="13"/>
    <n v="3872"/>
    <s v="Chair"/>
    <x v="1"/>
    <n v="2500"/>
    <n v="50336"/>
    <n v="32500"/>
    <n v="17836"/>
    <n v="890000"/>
    <n v="5.6557303370786516E-2"/>
  </r>
  <r>
    <s v="O0549"/>
    <x v="163"/>
    <x v="1"/>
    <x v="6"/>
    <s v="P101"/>
    <n v="5"/>
    <n v="5477"/>
    <s v="Laptop"/>
    <x v="0"/>
    <n v="35000"/>
    <n v="27385"/>
    <n v="175000"/>
    <n v="-147615"/>
    <n v="890000"/>
    <n v="3.0769662921348313E-2"/>
  </r>
  <r>
    <s v="O0550"/>
    <x v="162"/>
    <x v="0"/>
    <x v="3"/>
    <s v="P101"/>
    <n v="13"/>
    <n v="5122"/>
    <s v="Laptop"/>
    <x v="0"/>
    <n v="35000"/>
    <n v="66586"/>
    <n v="455000"/>
    <n v="-388414"/>
    <n v="800000"/>
    <n v="8.3232500000000001E-2"/>
  </r>
  <r>
    <s v="O0551"/>
    <x v="222"/>
    <x v="2"/>
    <x v="4"/>
    <s v="P108"/>
    <n v="6"/>
    <n v="2769"/>
    <s v="Shoes"/>
    <x v="2"/>
    <n v="2000"/>
    <n v="16614"/>
    <n v="12000"/>
    <n v="4614"/>
    <n v="850000"/>
    <n v="1.9545882352941177E-2"/>
  </r>
  <r>
    <s v="O0552"/>
    <x v="284"/>
    <x v="2"/>
    <x v="5"/>
    <s v="P103"/>
    <n v="15"/>
    <n v="4061"/>
    <s v="Headphones"/>
    <x v="0"/>
    <n v="2000"/>
    <n v="60915"/>
    <n v="30000"/>
    <n v="30915"/>
    <n v="900000"/>
    <n v="6.7683333333333331E-2"/>
  </r>
  <r>
    <s v="O0553"/>
    <x v="171"/>
    <x v="0"/>
    <x v="3"/>
    <s v="P108"/>
    <n v="15"/>
    <n v="1565"/>
    <s v="Shoes"/>
    <x v="2"/>
    <n v="2000"/>
    <n v="23475"/>
    <n v="30000"/>
    <n v="-6525"/>
    <n v="800000"/>
    <n v="2.9343749999999998E-2"/>
  </r>
  <r>
    <s v="O0554"/>
    <x v="233"/>
    <x v="3"/>
    <x v="1"/>
    <s v="P101"/>
    <n v="5"/>
    <n v="1425"/>
    <s v="Laptop"/>
    <x v="0"/>
    <n v="35000"/>
    <n v="7125"/>
    <n v="175000"/>
    <n v="-167875"/>
    <n v="880000"/>
    <n v="8.0965909090909092E-3"/>
  </r>
  <r>
    <s v="O0555"/>
    <x v="129"/>
    <x v="0"/>
    <x v="4"/>
    <s v="P106"/>
    <n v="6"/>
    <n v="5051"/>
    <s v="Sofa"/>
    <x v="1"/>
    <n v="15000"/>
    <n v="30306"/>
    <n v="90000"/>
    <n v="-59694"/>
    <n v="850000"/>
    <n v="3.5654117647058822E-2"/>
  </r>
  <r>
    <s v="O0556"/>
    <x v="242"/>
    <x v="2"/>
    <x v="1"/>
    <s v="P106"/>
    <n v="8"/>
    <n v="1006"/>
    <s v="Sofa"/>
    <x v="1"/>
    <n v="15000"/>
    <n v="8048"/>
    <n v="120000"/>
    <n v="-111952"/>
    <n v="880000"/>
    <n v="9.1454545454545452E-3"/>
  </r>
  <r>
    <s v="O0557"/>
    <x v="285"/>
    <x v="2"/>
    <x v="5"/>
    <s v="P107"/>
    <n v="3"/>
    <n v="4954"/>
    <s v="Jacket"/>
    <x v="2"/>
    <n v="1500"/>
    <n v="14862"/>
    <n v="4500"/>
    <n v="10362"/>
    <n v="900000"/>
    <n v="1.6513333333333335E-2"/>
  </r>
  <r>
    <s v="O0558"/>
    <x v="61"/>
    <x v="0"/>
    <x v="7"/>
    <s v="P106"/>
    <n v="1"/>
    <n v="5469"/>
    <s v="Sofa"/>
    <x v="1"/>
    <n v="15000"/>
    <n v="5469"/>
    <n v="15000"/>
    <n v="-9531"/>
    <n v="870000"/>
    <n v="6.2862068965517243E-3"/>
  </r>
  <r>
    <s v="O0559"/>
    <x v="98"/>
    <x v="3"/>
    <x v="5"/>
    <s v="P102"/>
    <n v="10"/>
    <n v="5315"/>
    <s v="Mobile"/>
    <x v="0"/>
    <n v="18000"/>
    <n v="53150"/>
    <n v="180000"/>
    <n v="-126850"/>
    <n v="900000"/>
    <n v="5.9055555555555556E-2"/>
  </r>
  <r>
    <s v="O0560"/>
    <x v="286"/>
    <x v="3"/>
    <x v="2"/>
    <s v="P103"/>
    <n v="4"/>
    <n v="2238"/>
    <s v="Headphones"/>
    <x v="0"/>
    <n v="2000"/>
    <n v="8952"/>
    <n v="8000"/>
    <n v="952"/>
    <n v="950000"/>
    <n v="9.4231578947368416E-3"/>
  </r>
  <r>
    <s v="O0561"/>
    <x v="10"/>
    <x v="0"/>
    <x v="5"/>
    <s v="P107"/>
    <n v="14"/>
    <n v="7727"/>
    <s v="Jacket"/>
    <x v="2"/>
    <n v="1500"/>
    <n v="108178"/>
    <n v="21000"/>
    <n v="87178"/>
    <n v="900000"/>
    <n v="0.12019777777777778"/>
  </r>
  <r>
    <s v="O0562"/>
    <x v="257"/>
    <x v="3"/>
    <x v="6"/>
    <s v="P101"/>
    <n v="11"/>
    <n v="6455"/>
    <s v="Laptop"/>
    <x v="0"/>
    <n v="35000"/>
    <n v="71005"/>
    <n v="385000"/>
    <n v="-313995"/>
    <n v="890000"/>
    <n v="7.9780898876404494E-2"/>
  </r>
  <r>
    <s v="O0563"/>
    <x v="44"/>
    <x v="0"/>
    <x v="7"/>
    <s v="P104"/>
    <n v="8"/>
    <n v="6359"/>
    <s v="Chair"/>
    <x v="1"/>
    <n v="2500"/>
    <n v="50872"/>
    <n v="20000"/>
    <n v="30872"/>
    <n v="870000"/>
    <n v="5.8473563218390805E-2"/>
  </r>
  <r>
    <s v="O0564"/>
    <x v="283"/>
    <x v="0"/>
    <x v="0"/>
    <s v="P108"/>
    <n v="15"/>
    <n v="6050"/>
    <s v="Shoes"/>
    <x v="2"/>
    <n v="2000"/>
    <n v="90750"/>
    <n v="30000"/>
    <n v="60750"/>
    <n v="920000"/>
    <n v="9.8641304347826086E-2"/>
  </r>
  <r>
    <s v="O0565"/>
    <x v="154"/>
    <x v="1"/>
    <x v="0"/>
    <s v="P105"/>
    <n v="7"/>
    <n v="1270"/>
    <s v="Table"/>
    <x v="1"/>
    <n v="7000"/>
    <n v="8890"/>
    <n v="49000"/>
    <n v="-40110"/>
    <n v="920000"/>
    <n v="9.6630434782608698E-3"/>
  </r>
  <r>
    <s v="O0566"/>
    <x v="287"/>
    <x v="0"/>
    <x v="6"/>
    <s v="P102"/>
    <n v="6"/>
    <n v="6906"/>
    <s v="Mobile"/>
    <x v="0"/>
    <n v="18000"/>
    <n v="41436"/>
    <n v="108000"/>
    <n v="-66564"/>
    <n v="890000"/>
    <n v="4.6557303370786514E-2"/>
  </r>
  <r>
    <s v="O0567"/>
    <x v="73"/>
    <x v="2"/>
    <x v="1"/>
    <s v="P106"/>
    <n v="5"/>
    <n v="7475"/>
    <s v="Sofa"/>
    <x v="1"/>
    <n v="15000"/>
    <n v="37375"/>
    <n v="75000"/>
    <n v="-37625"/>
    <n v="880000"/>
    <n v="4.247159090909091E-2"/>
  </r>
  <r>
    <s v="O0568"/>
    <x v="92"/>
    <x v="3"/>
    <x v="5"/>
    <s v="P108"/>
    <n v="14"/>
    <n v="886"/>
    <s v="Shoes"/>
    <x v="2"/>
    <n v="2000"/>
    <n v="12404"/>
    <n v="28000"/>
    <n v="-15596"/>
    <n v="900000"/>
    <n v="1.3782222222222222E-2"/>
  </r>
  <r>
    <s v="O0569"/>
    <x v="192"/>
    <x v="0"/>
    <x v="7"/>
    <s v="P108"/>
    <n v="15"/>
    <n v="4905"/>
    <s v="Shoes"/>
    <x v="2"/>
    <n v="2000"/>
    <n v="73575"/>
    <n v="30000"/>
    <n v="43575"/>
    <n v="870000"/>
    <n v="8.4568965517241385E-2"/>
  </r>
  <r>
    <s v="O0570"/>
    <x v="66"/>
    <x v="3"/>
    <x v="6"/>
    <s v="P105"/>
    <n v="14"/>
    <n v="1567"/>
    <s v="Table"/>
    <x v="1"/>
    <n v="7000"/>
    <n v="21938"/>
    <n v="98000"/>
    <n v="-76062"/>
    <n v="890000"/>
    <n v="2.464943820224719E-2"/>
  </r>
  <r>
    <s v="O0571"/>
    <x v="6"/>
    <x v="2"/>
    <x v="6"/>
    <s v="P106"/>
    <n v="15"/>
    <n v="1563"/>
    <s v="Sofa"/>
    <x v="1"/>
    <n v="15000"/>
    <n v="23445"/>
    <n v="225000"/>
    <n v="-201555"/>
    <n v="890000"/>
    <n v="2.6342696629213482E-2"/>
  </r>
  <r>
    <s v="O0572"/>
    <x v="92"/>
    <x v="3"/>
    <x v="7"/>
    <s v="P103"/>
    <n v="3"/>
    <n v="6046"/>
    <s v="Headphones"/>
    <x v="0"/>
    <n v="2000"/>
    <n v="18138"/>
    <n v="6000"/>
    <n v="12138"/>
    <n v="870000"/>
    <n v="2.0848275862068964E-2"/>
  </r>
  <r>
    <s v="O0573"/>
    <x v="288"/>
    <x v="2"/>
    <x v="7"/>
    <s v="P103"/>
    <n v="9"/>
    <n v="3219"/>
    <s v="Headphones"/>
    <x v="0"/>
    <n v="2000"/>
    <n v="28971"/>
    <n v="18000"/>
    <n v="10971"/>
    <n v="870000"/>
    <n v="3.3300000000000003E-2"/>
  </r>
  <r>
    <s v="O0574"/>
    <x v="135"/>
    <x v="3"/>
    <x v="2"/>
    <s v="P101"/>
    <n v="7"/>
    <n v="6985"/>
    <s v="Laptop"/>
    <x v="0"/>
    <n v="35000"/>
    <n v="48895"/>
    <n v="245000"/>
    <n v="-196105"/>
    <n v="950000"/>
    <n v="5.146842105263158E-2"/>
  </r>
  <r>
    <s v="O0575"/>
    <x v="104"/>
    <x v="2"/>
    <x v="5"/>
    <s v="P102"/>
    <n v="3"/>
    <n v="2168"/>
    <s v="Mobile"/>
    <x v="0"/>
    <n v="18000"/>
    <n v="6504"/>
    <n v="54000"/>
    <n v="-47496"/>
    <n v="900000"/>
    <n v="7.2266666666666668E-3"/>
  </r>
  <r>
    <s v="O0576"/>
    <x v="81"/>
    <x v="3"/>
    <x v="3"/>
    <s v="P103"/>
    <n v="1"/>
    <n v="1934"/>
    <s v="Headphones"/>
    <x v="0"/>
    <n v="2000"/>
    <n v="1934"/>
    <n v="2000"/>
    <n v="-66"/>
    <n v="800000"/>
    <n v="2.4174999999999999E-3"/>
  </r>
  <r>
    <s v="O0577"/>
    <x v="70"/>
    <x v="2"/>
    <x v="6"/>
    <s v="P103"/>
    <n v="2"/>
    <n v="822"/>
    <s v="Headphones"/>
    <x v="0"/>
    <n v="2000"/>
    <n v="1644"/>
    <n v="4000"/>
    <n v="-2356"/>
    <n v="890000"/>
    <n v="1.8471910112359551E-3"/>
  </r>
  <r>
    <s v="O0578"/>
    <x v="198"/>
    <x v="3"/>
    <x v="1"/>
    <s v="P107"/>
    <n v="10"/>
    <n v="826"/>
    <s v="Jacket"/>
    <x v="2"/>
    <n v="1500"/>
    <n v="8260"/>
    <n v="15000"/>
    <n v="-6740"/>
    <n v="880000"/>
    <n v="9.3863636363636371E-3"/>
  </r>
  <r>
    <s v="O0579"/>
    <x v="168"/>
    <x v="1"/>
    <x v="2"/>
    <s v="P103"/>
    <n v="14"/>
    <n v="1552"/>
    <s v="Headphones"/>
    <x v="0"/>
    <n v="2000"/>
    <n v="21728"/>
    <n v="28000"/>
    <n v="-6272"/>
    <n v="950000"/>
    <n v="2.287157894736842E-2"/>
  </r>
  <r>
    <s v="O0580"/>
    <x v="84"/>
    <x v="2"/>
    <x v="7"/>
    <s v="P101"/>
    <n v="11"/>
    <n v="6428"/>
    <s v="Laptop"/>
    <x v="0"/>
    <n v="35000"/>
    <n v="70708"/>
    <n v="385000"/>
    <n v="-314292"/>
    <n v="870000"/>
    <n v="8.1273563218390799E-2"/>
  </r>
  <r>
    <s v="O0581"/>
    <x v="4"/>
    <x v="1"/>
    <x v="2"/>
    <s v="P104"/>
    <n v="5"/>
    <n v="6837"/>
    <s v="Chair"/>
    <x v="1"/>
    <n v="2500"/>
    <n v="34185"/>
    <n v="12500"/>
    <n v="21685"/>
    <n v="950000"/>
    <n v="3.5984210526315792E-2"/>
  </r>
  <r>
    <s v="O0582"/>
    <x v="182"/>
    <x v="1"/>
    <x v="5"/>
    <s v="P106"/>
    <n v="13"/>
    <n v="4997"/>
    <s v="Sofa"/>
    <x v="1"/>
    <n v="15000"/>
    <n v="64961"/>
    <n v="195000"/>
    <n v="-130039"/>
    <n v="900000"/>
    <n v="7.217888888888889E-2"/>
  </r>
  <r>
    <s v="O0583"/>
    <x v="66"/>
    <x v="0"/>
    <x v="1"/>
    <s v="P103"/>
    <n v="3"/>
    <n v="7650"/>
    <s v="Headphones"/>
    <x v="0"/>
    <n v="2000"/>
    <n v="22950"/>
    <n v="6000"/>
    <n v="16950"/>
    <n v="880000"/>
    <n v="2.6079545454545456E-2"/>
  </r>
  <r>
    <s v="O0584"/>
    <x v="150"/>
    <x v="2"/>
    <x v="5"/>
    <s v="P103"/>
    <n v="11"/>
    <n v="1085"/>
    <s v="Headphones"/>
    <x v="0"/>
    <n v="2000"/>
    <n v="11935"/>
    <n v="22000"/>
    <n v="-10065"/>
    <n v="900000"/>
    <n v="1.3261111111111111E-2"/>
  </r>
  <r>
    <s v="O0585"/>
    <x v="224"/>
    <x v="2"/>
    <x v="3"/>
    <s v="P104"/>
    <n v="14"/>
    <n v="5649"/>
    <s v="Chair"/>
    <x v="1"/>
    <n v="2500"/>
    <n v="79086"/>
    <n v="35000"/>
    <n v="44086"/>
    <n v="800000"/>
    <n v="9.8857500000000001E-2"/>
  </r>
  <r>
    <s v="O0586"/>
    <x v="75"/>
    <x v="2"/>
    <x v="7"/>
    <s v="P106"/>
    <n v="10"/>
    <n v="5285"/>
    <s v="Sofa"/>
    <x v="1"/>
    <n v="15000"/>
    <n v="52850"/>
    <n v="150000"/>
    <n v="-97150"/>
    <n v="870000"/>
    <n v="6.0747126436781609E-2"/>
  </r>
  <r>
    <s v="O0587"/>
    <x v="269"/>
    <x v="0"/>
    <x v="5"/>
    <s v="P105"/>
    <n v="4"/>
    <n v="5498"/>
    <s v="Table"/>
    <x v="1"/>
    <n v="7000"/>
    <n v="21992"/>
    <n v="28000"/>
    <n v="-6008"/>
    <n v="900000"/>
    <n v="2.4435555555555554E-2"/>
  </r>
  <r>
    <s v="O0588"/>
    <x v="289"/>
    <x v="0"/>
    <x v="0"/>
    <s v="P104"/>
    <n v="4"/>
    <n v="2155"/>
    <s v="Chair"/>
    <x v="1"/>
    <n v="2500"/>
    <n v="8620"/>
    <n v="10000"/>
    <n v="-1380"/>
    <n v="920000"/>
    <n v="9.3695652173913044E-3"/>
  </r>
  <r>
    <s v="O0589"/>
    <x v="214"/>
    <x v="2"/>
    <x v="6"/>
    <s v="P102"/>
    <n v="15"/>
    <n v="1425"/>
    <s v="Mobile"/>
    <x v="0"/>
    <n v="18000"/>
    <n v="21375"/>
    <n v="270000"/>
    <n v="-248625"/>
    <n v="890000"/>
    <n v="2.4016853932584268E-2"/>
  </r>
  <r>
    <s v="O0590"/>
    <x v="250"/>
    <x v="1"/>
    <x v="0"/>
    <s v="P102"/>
    <n v="2"/>
    <n v="6604"/>
    <s v="Mobile"/>
    <x v="0"/>
    <n v="18000"/>
    <n v="13208"/>
    <n v="36000"/>
    <n v="-22792"/>
    <n v="920000"/>
    <n v="1.4356521739130435E-2"/>
  </r>
  <r>
    <s v="O0591"/>
    <x v="163"/>
    <x v="1"/>
    <x v="2"/>
    <s v="P108"/>
    <n v="1"/>
    <n v="4950"/>
    <s v="Shoes"/>
    <x v="2"/>
    <n v="2000"/>
    <n v="4950"/>
    <n v="2000"/>
    <n v="2950"/>
    <n v="950000"/>
    <n v="5.2105263157894736E-3"/>
  </r>
  <r>
    <s v="O0592"/>
    <x v="162"/>
    <x v="2"/>
    <x v="7"/>
    <s v="P108"/>
    <n v="1"/>
    <n v="4587"/>
    <s v="Shoes"/>
    <x v="2"/>
    <n v="2000"/>
    <n v="4587"/>
    <n v="2000"/>
    <n v="2587"/>
    <n v="870000"/>
    <n v="5.2724137931034485E-3"/>
  </r>
  <r>
    <s v="O0593"/>
    <x v="279"/>
    <x v="2"/>
    <x v="1"/>
    <s v="P107"/>
    <n v="15"/>
    <n v="3126"/>
    <s v="Jacket"/>
    <x v="2"/>
    <n v="1500"/>
    <n v="46890"/>
    <n v="22500"/>
    <n v="24390"/>
    <n v="880000"/>
    <n v="5.3284090909090906E-2"/>
  </r>
  <r>
    <s v="O0594"/>
    <x v="290"/>
    <x v="3"/>
    <x v="5"/>
    <s v="P107"/>
    <n v="10"/>
    <n v="3864"/>
    <s v="Jacket"/>
    <x v="2"/>
    <n v="1500"/>
    <n v="38640"/>
    <n v="15000"/>
    <n v="23640"/>
    <n v="900000"/>
    <n v="4.293333333333333E-2"/>
  </r>
  <r>
    <s v="O0595"/>
    <x v="74"/>
    <x v="2"/>
    <x v="3"/>
    <s v="P101"/>
    <n v="13"/>
    <n v="2388"/>
    <s v="Laptop"/>
    <x v="0"/>
    <n v="35000"/>
    <n v="31044"/>
    <n v="455000"/>
    <n v="-423956"/>
    <n v="800000"/>
    <n v="3.8804999999999999E-2"/>
  </r>
  <r>
    <s v="O0596"/>
    <x v="162"/>
    <x v="2"/>
    <x v="2"/>
    <s v="P106"/>
    <n v="1"/>
    <n v="4619"/>
    <s v="Sofa"/>
    <x v="1"/>
    <n v="15000"/>
    <n v="4619"/>
    <n v="15000"/>
    <n v="-10381"/>
    <n v="950000"/>
    <n v="4.862105263157895E-3"/>
  </r>
  <r>
    <s v="O0597"/>
    <x v="291"/>
    <x v="1"/>
    <x v="0"/>
    <s v="P104"/>
    <n v="2"/>
    <n v="5890"/>
    <s v="Chair"/>
    <x v="1"/>
    <n v="2500"/>
    <n v="11780"/>
    <n v="5000"/>
    <n v="6780"/>
    <n v="920000"/>
    <n v="1.2804347826086956E-2"/>
  </r>
  <r>
    <s v="O0598"/>
    <x v="285"/>
    <x v="3"/>
    <x v="2"/>
    <s v="P101"/>
    <n v="4"/>
    <n v="7404"/>
    <s v="Laptop"/>
    <x v="0"/>
    <n v="35000"/>
    <n v="29616"/>
    <n v="140000"/>
    <n v="-110384"/>
    <n v="950000"/>
    <n v="3.1174736842105262E-2"/>
  </r>
  <r>
    <s v="O0599"/>
    <x v="84"/>
    <x v="1"/>
    <x v="0"/>
    <s v="P106"/>
    <n v="2"/>
    <n v="904"/>
    <s v="Sofa"/>
    <x v="1"/>
    <n v="15000"/>
    <n v="1808"/>
    <n v="30000"/>
    <n v="-28192"/>
    <n v="920000"/>
    <n v="1.9652173913043479E-3"/>
  </r>
  <r>
    <s v="O0600"/>
    <x v="289"/>
    <x v="0"/>
    <x v="1"/>
    <s v="P102"/>
    <n v="8"/>
    <n v="4203"/>
    <s v="Mobile"/>
    <x v="0"/>
    <n v="18000"/>
    <n v="33624"/>
    <n v="144000"/>
    <n v="-110376"/>
    <n v="880000"/>
    <n v="3.8209090909090908E-2"/>
  </r>
  <r>
    <s v="O0601"/>
    <x v="153"/>
    <x v="0"/>
    <x v="2"/>
    <s v="P108"/>
    <n v="15"/>
    <n v="3982"/>
    <s v="Shoes"/>
    <x v="2"/>
    <n v="2000"/>
    <n v="59730"/>
    <n v="30000"/>
    <n v="29730"/>
    <n v="950000"/>
    <n v="6.2873684210526318E-2"/>
  </r>
  <r>
    <s v="O0602"/>
    <x v="276"/>
    <x v="2"/>
    <x v="0"/>
    <s v="P104"/>
    <n v="9"/>
    <n v="2995"/>
    <s v="Chair"/>
    <x v="1"/>
    <n v="2500"/>
    <n v="26955"/>
    <n v="22500"/>
    <n v="4455"/>
    <n v="920000"/>
    <n v="2.9298913043478262E-2"/>
  </r>
  <r>
    <s v="O0603"/>
    <x v="126"/>
    <x v="1"/>
    <x v="7"/>
    <s v="P102"/>
    <n v="1"/>
    <n v="3623"/>
    <s v="Mobile"/>
    <x v="0"/>
    <n v="18000"/>
    <n v="3623"/>
    <n v="18000"/>
    <n v="-14377"/>
    <n v="870000"/>
    <n v="4.164367816091954E-3"/>
  </r>
  <r>
    <s v="O0604"/>
    <x v="271"/>
    <x v="1"/>
    <x v="5"/>
    <s v="P104"/>
    <n v="15"/>
    <n v="2007"/>
    <s v="Chair"/>
    <x v="1"/>
    <n v="2500"/>
    <n v="30105"/>
    <n v="37500"/>
    <n v="-7395"/>
    <n v="900000"/>
    <n v="3.3450000000000001E-2"/>
  </r>
  <r>
    <s v="O0605"/>
    <x v="230"/>
    <x v="2"/>
    <x v="7"/>
    <s v="P107"/>
    <n v="11"/>
    <n v="4643"/>
    <s v="Jacket"/>
    <x v="2"/>
    <n v="1500"/>
    <n v="51073"/>
    <n v="16500"/>
    <n v="34573"/>
    <n v="870000"/>
    <n v="5.8704597701149427E-2"/>
  </r>
  <r>
    <s v="O0606"/>
    <x v="292"/>
    <x v="0"/>
    <x v="7"/>
    <s v="P108"/>
    <n v="8"/>
    <n v="1615"/>
    <s v="Shoes"/>
    <x v="2"/>
    <n v="2000"/>
    <n v="12920"/>
    <n v="16000"/>
    <n v="-3080"/>
    <n v="870000"/>
    <n v="1.4850574712643679E-2"/>
  </r>
  <r>
    <s v="O0607"/>
    <x v="131"/>
    <x v="3"/>
    <x v="2"/>
    <s v="P106"/>
    <n v="10"/>
    <n v="7817"/>
    <s v="Sofa"/>
    <x v="1"/>
    <n v="15000"/>
    <n v="78170"/>
    <n v="150000"/>
    <n v="-71830"/>
    <n v="950000"/>
    <n v="8.2284210526315793E-2"/>
  </r>
  <r>
    <s v="O0608"/>
    <x v="73"/>
    <x v="1"/>
    <x v="0"/>
    <s v="P105"/>
    <n v="9"/>
    <n v="638"/>
    <s v="Table"/>
    <x v="1"/>
    <n v="7000"/>
    <n v="5742"/>
    <n v="63000"/>
    <n v="-57258"/>
    <n v="920000"/>
    <n v="6.241304347826087E-3"/>
  </r>
  <r>
    <s v="O0609"/>
    <x v="235"/>
    <x v="1"/>
    <x v="0"/>
    <s v="P106"/>
    <n v="1"/>
    <n v="4209"/>
    <s v="Sofa"/>
    <x v="1"/>
    <n v="15000"/>
    <n v="4209"/>
    <n v="15000"/>
    <n v="-10791"/>
    <n v="920000"/>
    <n v="4.5750000000000001E-3"/>
  </r>
  <r>
    <s v="O0610"/>
    <x v="9"/>
    <x v="2"/>
    <x v="4"/>
    <s v="P103"/>
    <n v="4"/>
    <n v="5547"/>
    <s v="Headphones"/>
    <x v="0"/>
    <n v="2000"/>
    <n v="22188"/>
    <n v="8000"/>
    <n v="14188"/>
    <n v="850000"/>
    <n v="2.6103529411764706E-2"/>
  </r>
  <r>
    <s v="O0611"/>
    <x v="259"/>
    <x v="0"/>
    <x v="2"/>
    <s v="P104"/>
    <n v="6"/>
    <n v="2779"/>
    <s v="Chair"/>
    <x v="1"/>
    <n v="2500"/>
    <n v="16674"/>
    <n v="15000"/>
    <n v="1674"/>
    <n v="950000"/>
    <n v="1.7551578947368422E-2"/>
  </r>
  <r>
    <s v="O0612"/>
    <x v="154"/>
    <x v="1"/>
    <x v="4"/>
    <s v="P101"/>
    <n v="6"/>
    <n v="1669"/>
    <s v="Laptop"/>
    <x v="0"/>
    <n v="35000"/>
    <n v="10014"/>
    <n v="210000"/>
    <n v="-199986"/>
    <n v="850000"/>
    <n v="1.1781176470588236E-2"/>
  </r>
  <r>
    <s v="O0613"/>
    <x v="184"/>
    <x v="3"/>
    <x v="3"/>
    <s v="P104"/>
    <n v="12"/>
    <n v="7755"/>
    <s v="Chair"/>
    <x v="1"/>
    <n v="2500"/>
    <n v="93060"/>
    <n v="30000"/>
    <n v="63060"/>
    <n v="800000"/>
    <n v="0.116325"/>
  </r>
  <r>
    <s v="O0614"/>
    <x v="205"/>
    <x v="3"/>
    <x v="5"/>
    <s v="P101"/>
    <n v="10"/>
    <n v="4490"/>
    <s v="Laptop"/>
    <x v="0"/>
    <n v="35000"/>
    <n v="44900"/>
    <n v="350000"/>
    <n v="-305100"/>
    <n v="900000"/>
    <n v="4.9888888888888892E-2"/>
  </r>
  <r>
    <s v="O0615"/>
    <x v="160"/>
    <x v="1"/>
    <x v="1"/>
    <s v="P105"/>
    <n v="14"/>
    <n v="5421"/>
    <s v="Table"/>
    <x v="1"/>
    <n v="7000"/>
    <n v="75894"/>
    <n v="98000"/>
    <n v="-22106"/>
    <n v="880000"/>
    <n v="8.6243181818181816E-2"/>
  </r>
  <r>
    <s v="O0616"/>
    <x v="218"/>
    <x v="2"/>
    <x v="1"/>
    <s v="P105"/>
    <n v="13"/>
    <n v="1051"/>
    <s v="Table"/>
    <x v="1"/>
    <n v="7000"/>
    <n v="13663"/>
    <n v="91000"/>
    <n v="-77337"/>
    <n v="880000"/>
    <n v="1.5526136363636363E-2"/>
  </r>
  <r>
    <s v="O0617"/>
    <x v="9"/>
    <x v="1"/>
    <x v="2"/>
    <s v="P101"/>
    <n v="3"/>
    <n v="1966"/>
    <s v="Laptop"/>
    <x v="0"/>
    <n v="35000"/>
    <n v="5898"/>
    <n v="105000"/>
    <n v="-99102"/>
    <n v="950000"/>
    <n v="6.2084210526315792E-3"/>
  </r>
  <r>
    <s v="O0618"/>
    <x v="44"/>
    <x v="3"/>
    <x v="6"/>
    <s v="P105"/>
    <n v="8"/>
    <n v="5977"/>
    <s v="Table"/>
    <x v="1"/>
    <n v="7000"/>
    <n v="47816"/>
    <n v="56000"/>
    <n v="-8184"/>
    <n v="890000"/>
    <n v="5.3725842696629215E-2"/>
  </r>
  <r>
    <s v="O0619"/>
    <x v="292"/>
    <x v="2"/>
    <x v="3"/>
    <s v="P108"/>
    <n v="10"/>
    <n v="2498"/>
    <s v="Shoes"/>
    <x v="2"/>
    <n v="2000"/>
    <n v="24980"/>
    <n v="20000"/>
    <n v="4980"/>
    <n v="800000"/>
    <n v="3.1224999999999999E-2"/>
  </r>
  <r>
    <s v="O0620"/>
    <x v="247"/>
    <x v="2"/>
    <x v="7"/>
    <s v="P104"/>
    <n v="4"/>
    <n v="7082"/>
    <s v="Chair"/>
    <x v="1"/>
    <n v="2500"/>
    <n v="28328"/>
    <n v="10000"/>
    <n v="18328"/>
    <n v="870000"/>
    <n v="3.2560919540229882E-2"/>
  </r>
  <r>
    <s v="O0621"/>
    <x v="133"/>
    <x v="3"/>
    <x v="3"/>
    <s v="P102"/>
    <n v="10"/>
    <n v="2636"/>
    <s v="Mobile"/>
    <x v="0"/>
    <n v="18000"/>
    <n v="26360"/>
    <n v="180000"/>
    <n v="-153640"/>
    <n v="800000"/>
    <n v="3.295E-2"/>
  </r>
  <r>
    <s v="O0622"/>
    <x v="293"/>
    <x v="1"/>
    <x v="1"/>
    <s v="P107"/>
    <n v="4"/>
    <n v="2385"/>
    <s v="Jacket"/>
    <x v="2"/>
    <n v="1500"/>
    <n v="9540"/>
    <n v="6000"/>
    <n v="3540"/>
    <n v="880000"/>
    <n v="1.084090909090909E-2"/>
  </r>
  <r>
    <s v="O0623"/>
    <x v="294"/>
    <x v="3"/>
    <x v="5"/>
    <s v="P105"/>
    <n v="8"/>
    <n v="1992"/>
    <s v="Table"/>
    <x v="1"/>
    <n v="7000"/>
    <n v="15936"/>
    <n v="56000"/>
    <n v="-40064"/>
    <n v="900000"/>
    <n v="1.7706666666666666E-2"/>
  </r>
  <r>
    <s v="O0624"/>
    <x v="46"/>
    <x v="1"/>
    <x v="3"/>
    <s v="P105"/>
    <n v="11"/>
    <n v="2689"/>
    <s v="Table"/>
    <x v="1"/>
    <n v="7000"/>
    <n v="29579"/>
    <n v="77000"/>
    <n v="-47421"/>
    <n v="800000"/>
    <n v="3.697375E-2"/>
  </r>
  <r>
    <s v="O0625"/>
    <x v="33"/>
    <x v="1"/>
    <x v="3"/>
    <s v="P104"/>
    <n v="11"/>
    <n v="6341"/>
    <s v="Chair"/>
    <x v="1"/>
    <n v="2500"/>
    <n v="69751"/>
    <n v="27500"/>
    <n v="42251"/>
    <n v="800000"/>
    <n v="8.7188749999999995E-2"/>
  </r>
  <r>
    <s v="O0626"/>
    <x v="13"/>
    <x v="1"/>
    <x v="5"/>
    <s v="P107"/>
    <n v="2"/>
    <n v="6477"/>
    <s v="Jacket"/>
    <x v="2"/>
    <n v="1500"/>
    <n v="12954"/>
    <n v="3000"/>
    <n v="9954"/>
    <n v="900000"/>
    <n v="1.4393333333333333E-2"/>
  </r>
  <r>
    <s v="O0627"/>
    <x v="295"/>
    <x v="2"/>
    <x v="3"/>
    <s v="P102"/>
    <n v="5"/>
    <n v="2664"/>
    <s v="Mobile"/>
    <x v="0"/>
    <n v="18000"/>
    <n v="13320"/>
    <n v="90000"/>
    <n v="-76680"/>
    <n v="800000"/>
    <n v="1.6650000000000002E-2"/>
  </r>
  <r>
    <s v="O0628"/>
    <x v="66"/>
    <x v="1"/>
    <x v="3"/>
    <s v="P102"/>
    <n v="1"/>
    <n v="1939"/>
    <s v="Mobile"/>
    <x v="0"/>
    <n v="18000"/>
    <n v="1939"/>
    <n v="18000"/>
    <n v="-16061"/>
    <n v="800000"/>
    <n v="2.4237500000000001E-3"/>
  </r>
  <r>
    <s v="O0629"/>
    <x v="223"/>
    <x v="1"/>
    <x v="6"/>
    <s v="P108"/>
    <n v="3"/>
    <n v="2987"/>
    <s v="Shoes"/>
    <x v="2"/>
    <n v="2000"/>
    <n v="8961"/>
    <n v="6000"/>
    <n v="2961"/>
    <n v="890000"/>
    <n v="1.0068539325842696E-2"/>
  </r>
  <r>
    <s v="O0630"/>
    <x v="284"/>
    <x v="3"/>
    <x v="3"/>
    <s v="P101"/>
    <n v="13"/>
    <n v="1365"/>
    <s v="Laptop"/>
    <x v="0"/>
    <n v="35000"/>
    <n v="17745"/>
    <n v="455000"/>
    <n v="-437255"/>
    <n v="800000"/>
    <n v="2.218125E-2"/>
  </r>
  <r>
    <s v="O0631"/>
    <x v="129"/>
    <x v="3"/>
    <x v="6"/>
    <s v="P103"/>
    <n v="5"/>
    <n v="7933"/>
    <s v="Headphones"/>
    <x v="0"/>
    <n v="2000"/>
    <n v="39665"/>
    <n v="10000"/>
    <n v="29665"/>
    <n v="890000"/>
    <n v="4.4567415730337082E-2"/>
  </r>
  <r>
    <s v="O0632"/>
    <x v="30"/>
    <x v="2"/>
    <x v="0"/>
    <s v="P106"/>
    <n v="3"/>
    <n v="7770"/>
    <s v="Sofa"/>
    <x v="1"/>
    <n v="15000"/>
    <n v="23310"/>
    <n v="45000"/>
    <n v="-21690"/>
    <n v="920000"/>
    <n v="2.5336956521739132E-2"/>
  </r>
  <r>
    <s v="O0633"/>
    <x v="8"/>
    <x v="0"/>
    <x v="5"/>
    <s v="P108"/>
    <n v="2"/>
    <n v="3885"/>
    <s v="Shoes"/>
    <x v="2"/>
    <n v="2000"/>
    <n v="7770"/>
    <n v="4000"/>
    <n v="3770"/>
    <n v="900000"/>
    <n v="8.6333333333333331E-3"/>
  </r>
  <r>
    <s v="O0634"/>
    <x v="237"/>
    <x v="0"/>
    <x v="5"/>
    <s v="P108"/>
    <n v="14"/>
    <n v="2735"/>
    <s v="Shoes"/>
    <x v="2"/>
    <n v="2000"/>
    <n v="38290"/>
    <n v="28000"/>
    <n v="10290"/>
    <n v="900000"/>
    <n v="4.2544444444444447E-2"/>
  </r>
  <r>
    <s v="O0635"/>
    <x v="200"/>
    <x v="3"/>
    <x v="4"/>
    <s v="P102"/>
    <n v="5"/>
    <n v="4575"/>
    <s v="Mobile"/>
    <x v="0"/>
    <n v="18000"/>
    <n v="22875"/>
    <n v="90000"/>
    <n v="-67125"/>
    <n v="850000"/>
    <n v="2.6911764705882354E-2"/>
  </r>
  <r>
    <s v="O0636"/>
    <x v="91"/>
    <x v="2"/>
    <x v="1"/>
    <s v="P101"/>
    <n v="4"/>
    <n v="1366"/>
    <s v="Laptop"/>
    <x v="0"/>
    <n v="35000"/>
    <n v="5464"/>
    <n v="140000"/>
    <n v="-134536"/>
    <n v="880000"/>
    <n v="6.2090909090909089E-3"/>
  </r>
  <r>
    <s v="O0637"/>
    <x v="29"/>
    <x v="1"/>
    <x v="3"/>
    <s v="P107"/>
    <n v="13"/>
    <n v="3401"/>
    <s v="Jacket"/>
    <x v="2"/>
    <n v="1500"/>
    <n v="44213"/>
    <n v="19500"/>
    <n v="24713"/>
    <n v="800000"/>
    <n v="5.5266250000000003E-2"/>
  </r>
  <r>
    <s v="O0638"/>
    <x v="11"/>
    <x v="3"/>
    <x v="1"/>
    <s v="P108"/>
    <n v="5"/>
    <n v="1020"/>
    <s v="Shoes"/>
    <x v="2"/>
    <n v="2000"/>
    <n v="5100"/>
    <n v="10000"/>
    <n v="-4900"/>
    <n v="880000"/>
    <n v="5.7954545454545455E-3"/>
  </r>
  <r>
    <s v="O0639"/>
    <x v="134"/>
    <x v="1"/>
    <x v="0"/>
    <s v="P102"/>
    <n v="14"/>
    <n v="5197"/>
    <s v="Mobile"/>
    <x v="0"/>
    <n v="18000"/>
    <n v="72758"/>
    <n v="252000"/>
    <n v="-179242"/>
    <n v="920000"/>
    <n v="7.9084782608695656E-2"/>
  </r>
  <r>
    <s v="O0640"/>
    <x v="34"/>
    <x v="0"/>
    <x v="3"/>
    <s v="P105"/>
    <n v="2"/>
    <n v="1036"/>
    <s v="Table"/>
    <x v="1"/>
    <n v="7000"/>
    <n v="2072"/>
    <n v="14000"/>
    <n v="-11928"/>
    <n v="800000"/>
    <n v="2.5899999999999999E-3"/>
  </r>
  <r>
    <s v="O0641"/>
    <x v="223"/>
    <x v="1"/>
    <x v="1"/>
    <s v="P103"/>
    <n v="8"/>
    <n v="7784"/>
    <s v="Headphones"/>
    <x v="0"/>
    <n v="2000"/>
    <n v="62272"/>
    <n v="16000"/>
    <n v="46272"/>
    <n v="880000"/>
    <n v="7.0763636363636362E-2"/>
  </r>
  <r>
    <s v="O0642"/>
    <x v="220"/>
    <x v="2"/>
    <x v="2"/>
    <s v="P101"/>
    <n v="14"/>
    <n v="4243"/>
    <s v="Laptop"/>
    <x v="0"/>
    <n v="35000"/>
    <n v="59402"/>
    <n v="490000"/>
    <n v="-430598"/>
    <n v="950000"/>
    <n v="6.252842105263158E-2"/>
  </r>
  <r>
    <s v="O0643"/>
    <x v="235"/>
    <x v="2"/>
    <x v="2"/>
    <s v="P108"/>
    <n v="13"/>
    <n v="4917"/>
    <s v="Shoes"/>
    <x v="2"/>
    <n v="2000"/>
    <n v="63921"/>
    <n v="26000"/>
    <n v="37921"/>
    <n v="950000"/>
    <n v="6.7285263157894737E-2"/>
  </r>
  <r>
    <s v="O0644"/>
    <x v="113"/>
    <x v="0"/>
    <x v="3"/>
    <s v="P105"/>
    <n v="10"/>
    <n v="4996"/>
    <s v="Table"/>
    <x v="1"/>
    <n v="7000"/>
    <n v="49960"/>
    <n v="70000"/>
    <n v="-20040"/>
    <n v="800000"/>
    <n v="6.2449999999999999E-2"/>
  </r>
  <r>
    <s v="O0645"/>
    <x v="114"/>
    <x v="1"/>
    <x v="6"/>
    <s v="P104"/>
    <n v="11"/>
    <n v="7363"/>
    <s v="Chair"/>
    <x v="1"/>
    <n v="2500"/>
    <n v="80993"/>
    <n v="27500"/>
    <n v="53493"/>
    <n v="890000"/>
    <n v="9.1003370786516852E-2"/>
  </r>
  <r>
    <s v="O0646"/>
    <x v="265"/>
    <x v="3"/>
    <x v="2"/>
    <s v="P107"/>
    <n v="15"/>
    <n v="4242"/>
    <s v="Jacket"/>
    <x v="2"/>
    <n v="1500"/>
    <n v="63630"/>
    <n v="22500"/>
    <n v="41130"/>
    <n v="950000"/>
    <n v="6.6978947368421055E-2"/>
  </r>
  <r>
    <s v="O0647"/>
    <x v="87"/>
    <x v="0"/>
    <x v="2"/>
    <s v="P104"/>
    <n v="3"/>
    <n v="2450"/>
    <s v="Chair"/>
    <x v="1"/>
    <n v="2500"/>
    <n v="7350"/>
    <n v="7500"/>
    <n v="-150"/>
    <n v="950000"/>
    <n v="7.7368421052631583E-3"/>
  </r>
  <r>
    <s v="O0648"/>
    <x v="296"/>
    <x v="2"/>
    <x v="5"/>
    <s v="P104"/>
    <n v="11"/>
    <n v="2985"/>
    <s v="Chair"/>
    <x v="1"/>
    <n v="2500"/>
    <n v="32835"/>
    <n v="27500"/>
    <n v="5335"/>
    <n v="900000"/>
    <n v="3.6483333333333333E-2"/>
  </r>
  <r>
    <s v="O0649"/>
    <x v="99"/>
    <x v="1"/>
    <x v="6"/>
    <s v="P107"/>
    <n v="5"/>
    <n v="5513"/>
    <s v="Jacket"/>
    <x v="2"/>
    <n v="1500"/>
    <n v="27565"/>
    <n v="7500"/>
    <n v="20065"/>
    <n v="890000"/>
    <n v="3.0971910112359551E-2"/>
  </r>
  <r>
    <s v="O0650"/>
    <x v="297"/>
    <x v="0"/>
    <x v="0"/>
    <s v="P102"/>
    <n v="4"/>
    <n v="2219"/>
    <s v="Mobile"/>
    <x v="0"/>
    <n v="18000"/>
    <n v="8876"/>
    <n v="72000"/>
    <n v="-63124"/>
    <n v="920000"/>
    <n v="9.6478260869565218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511690-57AE-4579-A148-95B9A9196F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C10" firstHeaderRow="0" firstDataRow="1" firstDataCol="1"/>
  <pivotFields count="15">
    <pivotField showAll="0"/>
    <pivotField showAll="0">
      <items count="299">
        <item x="238"/>
        <item x="7"/>
        <item x="158"/>
        <item x="45"/>
        <item x="123"/>
        <item x="129"/>
        <item x="193"/>
        <item x="223"/>
        <item x="65"/>
        <item x="189"/>
        <item x="256"/>
        <item x="161"/>
        <item x="210"/>
        <item x="68"/>
        <item x="184"/>
        <item x="30"/>
        <item x="137"/>
        <item x="105"/>
        <item x="166"/>
        <item x="35"/>
        <item x="48"/>
        <item x="13"/>
        <item x="262"/>
        <item x="265"/>
        <item x="69"/>
        <item x="228"/>
        <item x="267"/>
        <item x="31"/>
        <item x="135"/>
        <item x="185"/>
        <item x="292"/>
        <item x="182"/>
        <item x="295"/>
        <item x="112"/>
        <item x="70"/>
        <item x="3"/>
        <item x="196"/>
        <item x="79"/>
        <item x="165"/>
        <item x="188"/>
        <item x="57"/>
        <item x="90"/>
        <item x="67"/>
        <item x="160"/>
        <item x="170"/>
        <item x="11"/>
        <item x="2"/>
        <item x="114"/>
        <item x="71"/>
        <item x="275"/>
        <item x="89"/>
        <item x="225"/>
        <item x="252"/>
        <item x="34"/>
        <item x="143"/>
        <item x="82"/>
        <item x="0"/>
        <item x="78"/>
        <item x="61"/>
        <item x="75"/>
        <item x="286"/>
        <item x="263"/>
        <item x="239"/>
        <item x="194"/>
        <item x="107"/>
        <item x="133"/>
        <item x="273"/>
        <item x="10"/>
        <item x="115"/>
        <item x="276"/>
        <item x="146"/>
        <item x="215"/>
        <item x="218"/>
        <item x="235"/>
        <item x="241"/>
        <item x="162"/>
        <item x="191"/>
        <item x="197"/>
        <item x="237"/>
        <item x="220"/>
        <item x="60"/>
        <item x="85"/>
        <item x="97"/>
        <item x="140"/>
        <item x="53"/>
        <item x="206"/>
        <item x="125"/>
        <item x="47"/>
        <item x="128"/>
        <item x="280"/>
        <item x="149"/>
        <item x="22"/>
        <item x="216"/>
        <item x="176"/>
        <item x="144"/>
        <item x="110"/>
        <item x="130"/>
        <item x="59"/>
        <item x="54"/>
        <item x="246"/>
        <item x="179"/>
        <item x="234"/>
        <item x="25"/>
        <item x="208"/>
        <item x="285"/>
        <item x="284"/>
        <item x="281"/>
        <item x="151"/>
        <item x="212"/>
        <item x="226"/>
        <item x="199"/>
        <item x="56"/>
        <item x="260"/>
        <item x="116"/>
        <item x="247"/>
        <item x="84"/>
        <item x="131"/>
        <item x="26"/>
        <item x="119"/>
        <item x="244"/>
        <item x="86"/>
        <item x="39"/>
        <item x="6"/>
        <item x="180"/>
        <item x="73"/>
        <item x="268"/>
        <item x="213"/>
        <item x="121"/>
        <item x="164"/>
        <item x="38"/>
        <item x="243"/>
        <item x="278"/>
        <item x="271"/>
        <item x="64"/>
        <item x="255"/>
        <item x="186"/>
        <item x="51"/>
        <item x="168"/>
        <item x="240"/>
        <item x="211"/>
        <item x="99"/>
        <item x="63"/>
        <item x="50"/>
        <item x="18"/>
        <item x="230"/>
        <item x="224"/>
        <item x="150"/>
        <item x="72"/>
        <item x="169"/>
        <item x="231"/>
        <item x="40"/>
        <item x="62"/>
        <item x="195"/>
        <item x="257"/>
        <item x="145"/>
        <item x="214"/>
        <item x="203"/>
        <item x="290"/>
        <item x="55"/>
        <item x="33"/>
        <item x="261"/>
        <item x="21"/>
        <item x="172"/>
        <item x="93"/>
        <item x="192"/>
        <item x="113"/>
        <item x="258"/>
        <item x="124"/>
        <item x="181"/>
        <item x="253"/>
        <item x="190"/>
        <item x="163"/>
        <item x="198"/>
        <item x="37"/>
        <item x="138"/>
        <item x="94"/>
        <item x="174"/>
        <item x="264"/>
        <item x="103"/>
        <item x="153"/>
        <item x="270"/>
        <item x="15"/>
        <item x="250"/>
        <item x="100"/>
        <item x="23"/>
        <item x="111"/>
        <item x="289"/>
        <item x="46"/>
        <item x="28"/>
        <item x="8"/>
        <item x="122"/>
        <item x="81"/>
        <item x="80"/>
        <item x="155"/>
        <item x="178"/>
        <item x="88"/>
        <item x="12"/>
        <item x="157"/>
        <item x="58"/>
        <item x="43"/>
        <item x="16"/>
        <item x="152"/>
        <item x="200"/>
        <item x="108"/>
        <item x="109"/>
        <item x="127"/>
        <item x="297"/>
        <item x="104"/>
        <item x="202"/>
        <item x="95"/>
        <item x="249"/>
        <item x="87"/>
        <item x="136"/>
        <item x="24"/>
        <item x="91"/>
        <item x="96"/>
        <item x="156"/>
        <item x="141"/>
        <item x="102"/>
        <item x="14"/>
        <item x="227"/>
        <item x="167"/>
        <item x="201"/>
        <item x="98"/>
        <item x="44"/>
        <item x="83"/>
        <item x="49"/>
        <item x="296"/>
        <item x="259"/>
        <item x="120"/>
        <item x="266"/>
        <item x="288"/>
        <item x="232"/>
        <item x="229"/>
        <item x="154"/>
        <item x="42"/>
        <item x="204"/>
        <item x="101"/>
        <item x="148"/>
        <item x="242"/>
        <item x="221"/>
        <item x="5"/>
        <item x="134"/>
        <item x="74"/>
        <item x="36"/>
        <item x="147"/>
        <item x="19"/>
        <item x="209"/>
        <item x="219"/>
        <item x="279"/>
        <item x="245"/>
        <item x="287"/>
        <item x="132"/>
        <item x="66"/>
        <item x="118"/>
        <item x="159"/>
        <item x="274"/>
        <item x="272"/>
        <item x="205"/>
        <item x="175"/>
        <item x="76"/>
        <item x="117"/>
        <item x="236"/>
        <item x="207"/>
        <item x="283"/>
        <item x="177"/>
        <item x="222"/>
        <item x="17"/>
        <item x="27"/>
        <item x="251"/>
        <item x="293"/>
        <item x="20"/>
        <item x="77"/>
        <item x="217"/>
        <item x="92"/>
        <item x="183"/>
        <item x="4"/>
        <item x="139"/>
        <item x="282"/>
        <item x="1"/>
        <item x="248"/>
        <item x="171"/>
        <item x="9"/>
        <item x="29"/>
        <item x="187"/>
        <item x="277"/>
        <item x="126"/>
        <item x="142"/>
        <item x="52"/>
        <item x="254"/>
        <item x="294"/>
        <item x="41"/>
        <item x="291"/>
        <item x="32"/>
        <item x="269"/>
        <item x="106"/>
        <item x="173"/>
        <item x="233"/>
        <item t="default"/>
      </items>
    </pivotField>
    <pivotField axis="axisRow" showAll="0">
      <items count="5">
        <item x="2"/>
        <item x="3"/>
        <item x="1"/>
        <item x="0"/>
        <item t="default"/>
      </items>
    </pivotField>
    <pivotField showAll="0">
      <items count="9">
        <item x="5"/>
        <item x="0"/>
        <item x="6"/>
        <item x="7"/>
        <item x="2"/>
        <item x="4"/>
        <item x="3"/>
        <item x="1"/>
        <item t="default"/>
      </items>
    </pivotField>
    <pivotField showAll="0"/>
    <pivotField showAll="0"/>
    <pivotField showAll="0"/>
    <pivotField showAll="0"/>
    <pivotField showAll="0">
      <items count="4">
        <item x="2"/>
        <item x="0"/>
        <item x="1"/>
        <item t="default"/>
      </items>
    </pivotField>
    <pivotField showAll="0"/>
    <pivotField dataField="1" showAll="0"/>
    <pivotField showAll="0"/>
    <pivotField dataField="1" showAll="0"/>
    <pivotField showAll="0"/>
    <pivotField numFmtId="164" showAll="0"/>
  </pivotFields>
  <rowFields count="1">
    <field x="2"/>
  </rowFields>
  <rowItems count="5">
    <i>
      <x/>
    </i>
    <i>
      <x v="1"/>
    </i>
    <i>
      <x v="2"/>
    </i>
    <i>
      <x v="3"/>
    </i>
    <i t="grand">
      <x/>
    </i>
  </rowItems>
  <colFields count="1">
    <field x="-2"/>
  </colFields>
  <colItems count="2">
    <i>
      <x/>
    </i>
    <i i="1">
      <x v="1"/>
    </i>
  </colItems>
  <dataFields count="2">
    <dataField name="Sum of Total_sales" fld="10" baseField="0" baseItem="0"/>
    <dataField name="Sum of Profit" fld="12" baseField="0" baseItem="0"/>
  </dataFields>
  <formats count="12">
    <format dxfId="12">
      <pivotArea type="all" dataOnly="0" outline="0" fieldPosition="0"/>
    </format>
    <format dxfId="11">
      <pivotArea outline="0" collapsedLevelsAreSubtotals="1"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fieldPosition="0">
        <references count="1">
          <reference field="4294967294" count="2">
            <x v="0"/>
            <x v="1"/>
          </reference>
        </references>
      </pivotArea>
    </format>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outline="0" fieldPosition="0">
        <references count="1">
          <reference field="4294967294" count="2">
            <x v="0"/>
            <x v="1"/>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pivotArea type="data" outline="0" fieldPosition="0">
        <references count="2">
          <reference field="4294967294" count="1" selected="0">
            <x v="0"/>
          </reference>
          <reference field="2" count="1" selected="0">
            <x v="1"/>
          </reference>
        </references>
      </pivotArea>
    </chartFormat>
    <chartFormat chart="2" format="15">
      <pivotArea type="data" outline="0" fieldPosition="0">
        <references count="2">
          <reference field="4294967294" count="1" selected="0">
            <x v="0"/>
          </reference>
          <reference field="2" count="1" selected="0">
            <x v="2"/>
          </reference>
        </references>
      </pivotArea>
    </chartFormat>
    <chartFormat chart="2" format="16">
      <pivotArea type="data" outline="0" fieldPosition="0">
        <references count="2">
          <reference field="4294967294" count="1" selected="0">
            <x v="0"/>
          </reference>
          <reference field="2" count="1" selected="0">
            <x v="3"/>
          </reference>
        </references>
      </pivotArea>
    </chartFormat>
    <chartFormat chart="2" format="17" series="1">
      <pivotArea type="data" outline="0" fieldPosition="0">
        <references count="1">
          <reference field="4294967294" count="1" selected="0">
            <x v="1"/>
          </reference>
        </references>
      </pivotArea>
    </chartFormat>
    <chartFormat chart="2" format="18">
      <pivotArea type="data" outline="0" fieldPosition="0">
        <references count="2">
          <reference field="4294967294" count="1" selected="0">
            <x v="1"/>
          </reference>
          <reference field="2" count="1" selected="0">
            <x v="0"/>
          </reference>
        </references>
      </pivotArea>
    </chartFormat>
    <chartFormat chart="2" format="19">
      <pivotArea type="data" outline="0" fieldPosition="0">
        <references count="2">
          <reference field="4294967294" count="1" selected="0">
            <x v="1"/>
          </reference>
          <reference field="2" count="1" selected="0">
            <x v="1"/>
          </reference>
        </references>
      </pivotArea>
    </chartFormat>
    <chartFormat chart="2" format="20">
      <pivotArea type="data" outline="0" fieldPosition="0">
        <references count="2">
          <reference field="4294967294" count="1" selected="0">
            <x v="1"/>
          </reference>
          <reference field="2" count="1" selected="0">
            <x v="2"/>
          </reference>
        </references>
      </pivotArea>
    </chartFormat>
    <chartFormat chart="2" format="21">
      <pivotArea type="data" outline="0" fieldPosition="0">
        <references count="2">
          <reference field="4294967294" count="1" selected="0">
            <x v="1"/>
          </reference>
          <reference field="2" count="1" selected="0">
            <x v="3"/>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1"/>
          </reference>
          <reference field="2" count="1" selected="0">
            <x v="0"/>
          </reference>
        </references>
      </pivotArea>
    </chartFormat>
    <chartFormat chart="0" format="7">
      <pivotArea type="data" outline="0" fieldPosition="0">
        <references count="2">
          <reference field="4294967294" count="1" selected="0">
            <x v="1"/>
          </reference>
          <reference field="2" count="1" selected="0">
            <x v="1"/>
          </reference>
        </references>
      </pivotArea>
    </chartFormat>
    <chartFormat chart="0" format="8">
      <pivotArea type="data" outline="0" fieldPosition="0">
        <references count="2">
          <reference field="4294967294" count="1" selected="0">
            <x v="1"/>
          </reference>
          <reference field="2" count="1" selected="0">
            <x v="2"/>
          </reference>
        </references>
      </pivotArea>
    </chartFormat>
    <chartFormat chart="0" format="9">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7FD94A-D191-43E0-AB21-55FF827E76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B9" firstHeaderRow="1" firstDataRow="1" firstDataCol="1"/>
  <pivotFields count="15">
    <pivotField showAll="0"/>
    <pivotField showAll="0">
      <items count="299">
        <item x="238"/>
        <item x="7"/>
        <item x="158"/>
        <item x="45"/>
        <item x="123"/>
        <item x="129"/>
        <item x="193"/>
        <item x="223"/>
        <item x="65"/>
        <item x="189"/>
        <item x="256"/>
        <item x="161"/>
        <item x="210"/>
        <item x="68"/>
        <item x="184"/>
        <item x="30"/>
        <item x="137"/>
        <item x="105"/>
        <item x="166"/>
        <item x="35"/>
        <item x="48"/>
        <item x="13"/>
        <item x="262"/>
        <item x="265"/>
        <item x="69"/>
        <item x="228"/>
        <item x="267"/>
        <item x="31"/>
        <item x="135"/>
        <item x="185"/>
        <item x="292"/>
        <item x="182"/>
        <item x="295"/>
        <item x="112"/>
        <item x="70"/>
        <item x="3"/>
        <item x="196"/>
        <item x="79"/>
        <item x="165"/>
        <item x="188"/>
        <item x="57"/>
        <item x="90"/>
        <item x="67"/>
        <item x="160"/>
        <item x="170"/>
        <item x="11"/>
        <item x="2"/>
        <item x="114"/>
        <item x="71"/>
        <item x="275"/>
        <item x="89"/>
        <item x="225"/>
        <item x="252"/>
        <item x="34"/>
        <item x="143"/>
        <item x="82"/>
        <item x="0"/>
        <item x="78"/>
        <item x="61"/>
        <item x="75"/>
        <item x="286"/>
        <item x="263"/>
        <item x="239"/>
        <item x="194"/>
        <item x="107"/>
        <item x="133"/>
        <item x="273"/>
        <item x="10"/>
        <item x="115"/>
        <item x="276"/>
        <item x="146"/>
        <item x="215"/>
        <item x="218"/>
        <item x="235"/>
        <item x="241"/>
        <item x="162"/>
        <item x="191"/>
        <item x="197"/>
        <item x="237"/>
        <item x="220"/>
        <item x="60"/>
        <item x="85"/>
        <item x="97"/>
        <item x="140"/>
        <item x="53"/>
        <item x="206"/>
        <item x="125"/>
        <item x="47"/>
        <item x="128"/>
        <item x="280"/>
        <item x="149"/>
        <item x="22"/>
        <item x="216"/>
        <item x="176"/>
        <item x="144"/>
        <item x="110"/>
        <item x="130"/>
        <item x="59"/>
        <item x="54"/>
        <item x="246"/>
        <item x="179"/>
        <item x="234"/>
        <item x="25"/>
        <item x="208"/>
        <item x="285"/>
        <item x="284"/>
        <item x="281"/>
        <item x="151"/>
        <item x="212"/>
        <item x="226"/>
        <item x="199"/>
        <item x="56"/>
        <item x="260"/>
        <item x="116"/>
        <item x="247"/>
        <item x="84"/>
        <item x="131"/>
        <item x="26"/>
        <item x="119"/>
        <item x="244"/>
        <item x="86"/>
        <item x="39"/>
        <item x="6"/>
        <item x="180"/>
        <item x="73"/>
        <item x="268"/>
        <item x="213"/>
        <item x="121"/>
        <item x="164"/>
        <item x="38"/>
        <item x="243"/>
        <item x="278"/>
        <item x="271"/>
        <item x="64"/>
        <item x="255"/>
        <item x="186"/>
        <item x="51"/>
        <item x="168"/>
        <item x="240"/>
        <item x="211"/>
        <item x="99"/>
        <item x="63"/>
        <item x="50"/>
        <item x="18"/>
        <item x="230"/>
        <item x="224"/>
        <item x="150"/>
        <item x="72"/>
        <item x="169"/>
        <item x="231"/>
        <item x="40"/>
        <item x="62"/>
        <item x="195"/>
        <item x="257"/>
        <item x="145"/>
        <item x="214"/>
        <item x="203"/>
        <item x="290"/>
        <item x="55"/>
        <item x="33"/>
        <item x="261"/>
        <item x="21"/>
        <item x="172"/>
        <item x="93"/>
        <item x="192"/>
        <item x="113"/>
        <item x="258"/>
        <item x="124"/>
        <item x="181"/>
        <item x="253"/>
        <item x="190"/>
        <item x="163"/>
        <item x="198"/>
        <item x="37"/>
        <item x="138"/>
        <item x="94"/>
        <item x="174"/>
        <item x="264"/>
        <item x="103"/>
        <item x="153"/>
        <item x="270"/>
        <item x="15"/>
        <item x="250"/>
        <item x="100"/>
        <item x="23"/>
        <item x="111"/>
        <item x="289"/>
        <item x="46"/>
        <item x="28"/>
        <item x="8"/>
        <item x="122"/>
        <item x="81"/>
        <item x="80"/>
        <item x="155"/>
        <item x="178"/>
        <item x="88"/>
        <item x="12"/>
        <item x="157"/>
        <item x="58"/>
        <item x="43"/>
        <item x="16"/>
        <item x="152"/>
        <item x="200"/>
        <item x="108"/>
        <item x="109"/>
        <item x="127"/>
        <item x="297"/>
        <item x="104"/>
        <item x="202"/>
        <item x="95"/>
        <item x="249"/>
        <item x="87"/>
        <item x="136"/>
        <item x="24"/>
        <item x="91"/>
        <item x="96"/>
        <item x="156"/>
        <item x="141"/>
        <item x="102"/>
        <item x="14"/>
        <item x="227"/>
        <item x="167"/>
        <item x="201"/>
        <item x="98"/>
        <item x="44"/>
        <item x="83"/>
        <item x="49"/>
        <item x="296"/>
        <item x="259"/>
        <item x="120"/>
        <item x="266"/>
        <item x="288"/>
        <item x="232"/>
        <item x="229"/>
        <item x="154"/>
        <item x="42"/>
        <item x="204"/>
        <item x="101"/>
        <item x="148"/>
        <item x="242"/>
        <item x="221"/>
        <item x="5"/>
        <item x="134"/>
        <item x="74"/>
        <item x="36"/>
        <item x="147"/>
        <item x="19"/>
        <item x="209"/>
        <item x="219"/>
        <item x="279"/>
        <item x="245"/>
        <item x="287"/>
        <item x="132"/>
        <item x="66"/>
        <item x="118"/>
        <item x="159"/>
        <item x="274"/>
        <item x="272"/>
        <item x="205"/>
        <item x="175"/>
        <item x="76"/>
        <item x="117"/>
        <item x="236"/>
        <item x="207"/>
        <item x="283"/>
        <item x="177"/>
        <item x="222"/>
        <item x="17"/>
        <item x="27"/>
        <item x="251"/>
        <item x="293"/>
        <item x="20"/>
        <item x="77"/>
        <item x="217"/>
        <item x="92"/>
        <item x="183"/>
        <item x="4"/>
        <item x="139"/>
        <item x="282"/>
        <item x="1"/>
        <item x="248"/>
        <item x="171"/>
        <item x="9"/>
        <item x="29"/>
        <item x="187"/>
        <item x="277"/>
        <item x="126"/>
        <item x="142"/>
        <item x="52"/>
        <item x="254"/>
        <item x="294"/>
        <item x="41"/>
        <item x="291"/>
        <item x="32"/>
        <item x="269"/>
        <item x="106"/>
        <item x="173"/>
        <item x="233"/>
        <item t="default"/>
      </items>
    </pivotField>
    <pivotField showAll="0">
      <items count="5">
        <item x="2"/>
        <item x="3"/>
        <item x="1"/>
        <item x="0"/>
        <item t="default"/>
      </items>
    </pivotField>
    <pivotField showAll="0">
      <items count="9">
        <item x="5"/>
        <item x="0"/>
        <item x="6"/>
        <item x="7"/>
        <item x="2"/>
        <item x="4"/>
        <item x="3"/>
        <item x="1"/>
        <item t="default"/>
      </items>
    </pivotField>
    <pivotField showAll="0"/>
    <pivotField showAll="0"/>
    <pivotField showAll="0"/>
    <pivotField showAll="0"/>
    <pivotField axis="axisRow" showAll="0">
      <items count="4">
        <item x="2"/>
        <item x="0"/>
        <item x="1"/>
        <item t="default"/>
      </items>
    </pivotField>
    <pivotField showAll="0"/>
    <pivotField dataField="1" showAll="0"/>
    <pivotField showAll="0"/>
    <pivotField showAll="0"/>
    <pivotField showAll="0"/>
    <pivotField numFmtId="164" showAll="0"/>
  </pivotFields>
  <rowFields count="1">
    <field x="8"/>
  </rowFields>
  <rowItems count="4">
    <i>
      <x/>
    </i>
    <i>
      <x v="1"/>
    </i>
    <i>
      <x v="2"/>
    </i>
    <i t="grand">
      <x/>
    </i>
  </rowItems>
  <colItems count="1">
    <i/>
  </colItems>
  <dataFields count="1">
    <dataField name="Sum of Total_sales" fld="10"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A95366-B2ED-4413-8C47-353236A70E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C14" firstHeaderRow="0" firstDataRow="1" firstDataCol="1"/>
  <pivotFields count="15">
    <pivotField showAll="0"/>
    <pivotField showAll="0">
      <items count="299">
        <item x="238"/>
        <item x="7"/>
        <item x="158"/>
        <item x="45"/>
        <item x="123"/>
        <item x="129"/>
        <item x="193"/>
        <item x="223"/>
        <item x="65"/>
        <item x="189"/>
        <item x="256"/>
        <item x="161"/>
        <item x="210"/>
        <item x="68"/>
        <item x="184"/>
        <item x="30"/>
        <item x="137"/>
        <item x="105"/>
        <item x="166"/>
        <item x="35"/>
        <item x="48"/>
        <item x="13"/>
        <item x="262"/>
        <item x="265"/>
        <item x="69"/>
        <item x="228"/>
        <item x="267"/>
        <item x="31"/>
        <item x="135"/>
        <item x="185"/>
        <item x="292"/>
        <item x="182"/>
        <item x="295"/>
        <item x="112"/>
        <item x="70"/>
        <item x="3"/>
        <item x="196"/>
        <item x="79"/>
        <item x="165"/>
        <item x="188"/>
        <item x="57"/>
        <item x="90"/>
        <item x="67"/>
        <item x="160"/>
        <item x="170"/>
        <item x="11"/>
        <item x="2"/>
        <item x="114"/>
        <item x="71"/>
        <item x="275"/>
        <item x="89"/>
        <item x="225"/>
        <item x="252"/>
        <item x="34"/>
        <item x="143"/>
        <item x="82"/>
        <item x="0"/>
        <item x="78"/>
        <item x="61"/>
        <item x="75"/>
        <item x="286"/>
        <item x="263"/>
        <item x="239"/>
        <item x="194"/>
        <item x="107"/>
        <item x="133"/>
        <item x="273"/>
        <item x="10"/>
        <item x="115"/>
        <item x="276"/>
        <item x="146"/>
        <item x="215"/>
        <item x="218"/>
        <item x="235"/>
        <item x="241"/>
        <item x="162"/>
        <item x="191"/>
        <item x="197"/>
        <item x="237"/>
        <item x="220"/>
        <item x="60"/>
        <item x="85"/>
        <item x="97"/>
        <item x="140"/>
        <item x="53"/>
        <item x="206"/>
        <item x="125"/>
        <item x="47"/>
        <item x="128"/>
        <item x="280"/>
        <item x="149"/>
        <item x="22"/>
        <item x="216"/>
        <item x="176"/>
        <item x="144"/>
        <item x="110"/>
        <item x="130"/>
        <item x="59"/>
        <item x="54"/>
        <item x="246"/>
        <item x="179"/>
        <item x="234"/>
        <item x="25"/>
        <item x="208"/>
        <item x="285"/>
        <item x="284"/>
        <item x="281"/>
        <item x="151"/>
        <item x="212"/>
        <item x="226"/>
        <item x="199"/>
        <item x="56"/>
        <item x="260"/>
        <item x="116"/>
        <item x="247"/>
        <item x="84"/>
        <item x="131"/>
        <item x="26"/>
        <item x="119"/>
        <item x="244"/>
        <item x="86"/>
        <item x="39"/>
        <item x="6"/>
        <item x="180"/>
        <item x="73"/>
        <item x="268"/>
        <item x="213"/>
        <item x="121"/>
        <item x="164"/>
        <item x="38"/>
        <item x="243"/>
        <item x="278"/>
        <item x="271"/>
        <item x="64"/>
        <item x="255"/>
        <item x="186"/>
        <item x="51"/>
        <item x="168"/>
        <item x="240"/>
        <item x="211"/>
        <item x="99"/>
        <item x="63"/>
        <item x="50"/>
        <item x="18"/>
        <item x="230"/>
        <item x="224"/>
        <item x="150"/>
        <item x="72"/>
        <item x="169"/>
        <item x="231"/>
        <item x="40"/>
        <item x="62"/>
        <item x="195"/>
        <item x="257"/>
        <item x="145"/>
        <item x="214"/>
        <item x="203"/>
        <item x="290"/>
        <item x="55"/>
        <item x="33"/>
        <item x="261"/>
        <item x="21"/>
        <item x="172"/>
        <item x="93"/>
        <item x="192"/>
        <item x="113"/>
        <item x="258"/>
        <item x="124"/>
        <item x="181"/>
        <item x="253"/>
        <item x="190"/>
        <item x="163"/>
        <item x="198"/>
        <item x="37"/>
        <item x="138"/>
        <item x="94"/>
        <item x="174"/>
        <item x="264"/>
        <item x="103"/>
        <item x="153"/>
        <item x="270"/>
        <item x="15"/>
        <item x="250"/>
        <item x="100"/>
        <item x="23"/>
        <item x="111"/>
        <item x="289"/>
        <item x="46"/>
        <item x="28"/>
        <item x="8"/>
        <item x="122"/>
        <item x="81"/>
        <item x="80"/>
        <item x="155"/>
        <item x="178"/>
        <item x="88"/>
        <item x="12"/>
        <item x="157"/>
        <item x="58"/>
        <item x="43"/>
        <item x="16"/>
        <item x="152"/>
        <item x="200"/>
        <item x="108"/>
        <item x="109"/>
        <item x="127"/>
        <item x="297"/>
        <item x="104"/>
        <item x="202"/>
        <item x="95"/>
        <item x="249"/>
        <item x="87"/>
        <item x="136"/>
        <item x="24"/>
        <item x="91"/>
        <item x="96"/>
        <item x="156"/>
        <item x="141"/>
        <item x="102"/>
        <item x="14"/>
        <item x="227"/>
        <item x="167"/>
        <item x="201"/>
        <item x="98"/>
        <item x="44"/>
        <item x="83"/>
        <item x="49"/>
        <item x="296"/>
        <item x="259"/>
        <item x="120"/>
        <item x="266"/>
        <item x="288"/>
        <item x="232"/>
        <item x="229"/>
        <item x="154"/>
        <item x="42"/>
        <item x="204"/>
        <item x="101"/>
        <item x="148"/>
        <item x="242"/>
        <item x="221"/>
        <item x="5"/>
        <item x="134"/>
        <item x="74"/>
        <item x="36"/>
        <item x="147"/>
        <item x="19"/>
        <item x="209"/>
        <item x="219"/>
        <item x="279"/>
        <item x="245"/>
        <item x="287"/>
        <item x="132"/>
        <item x="66"/>
        <item x="118"/>
        <item x="159"/>
        <item x="274"/>
        <item x="272"/>
        <item x="205"/>
        <item x="175"/>
        <item x="76"/>
        <item x="117"/>
        <item x="236"/>
        <item x="207"/>
        <item x="283"/>
        <item x="177"/>
        <item x="222"/>
        <item x="17"/>
        <item x="27"/>
        <item x="251"/>
        <item x="293"/>
        <item x="20"/>
        <item x="77"/>
        <item x="217"/>
        <item x="92"/>
        <item x="183"/>
        <item x="4"/>
        <item x="139"/>
        <item x="282"/>
        <item x="1"/>
        <item x="248"/>
        <item x="171"/>
        <item x="9"/>
        <item x="29"/>
        <item x="187"/>
        <item x="277"/>
        <item x="126"/>
        <item x="142"/>
        <item x="52"/>
        <item x="254"/>
        <item x="294"/>
        <item x="41"/>
        <item x="291"/>
        <item x="32"/>
        <item x="269"/>
        <item x="106"/>
        <item x="173"/>
        <item x="233"/>
        <item t="default"/>
      </items>
    </pivotField>
    <pivotField showAll="0">
      <items count="5">
        <item x="2"/>
        <item x="3"/>
        <item x="1"/>
        <item x="0"/>
        <item t="default"/>
      </items>
    </pivotField>
    <pivotField axis="axisRow" showAll="0">
      <items count="9">
        <item x="5"/>
        <item x="0"/>
        <item x="6"/>
        <item x="7"/>
        <item x="2"/>
        <item x="4"/>
        <item x="3"/>
        <item x="1"/>
        <item t="default"/>
      </items>
    </pivotField>
    <pivotField showAll="0"/>
    <pivotField showAll="0"/>
    <pivotField showAll="0"/>
    <pivotField showAll="0"/>
    <pivotField showAll="0">
      <items count="4">
        <item x="2"/>
        <item x="0"/>
        <item x="1"/>
        <item t="default"/>
      </items>
    </pivotField>
    <pivotField showAll="0"/>
    <pivotField dataField="1" showAll="0"/>
    <pivotField showAll="0"/>
    <pivotField dataField="1" showAll="0"/>
    <pivotField showAll="0"/>
    <pivotField numFmtId="164" showAll="0"/>
  </pivotFields>
  <rowFields count="1">
    <field x="3"/>
  </rowFields>
  <rowItems count="9">
    <i>
      <x/>
    </i>
    <i>
      <x v="1"/>
    </i>
    <i>
      <x v="2"/>
    </i>
    <i>
      <x v="3"/>
    </i>
    <i>
      <x v="4"/>
    </i>
    <i>
      <x v="5"/>
    </i>
    <i>
      <x v="6"/>
    </i>
    <i>
      <x v="7"/>
    </i>
    <i t="grand">
      <x/>
    </i>
  </rowItems>
  <colFields count="1">
    <field x="-2"/>
  </colFields>
  <colItems count="2">
    <i>
      <x/>
    </i>
    <i i="1">
      <x v="1"/>
    </i>
  </colItems>
  <dataFields count="2">
    <dataField name="Sum of Total_sales" fld="10" baseField="0" baseItem="0"/>
    <dataField name="Sum of Profit" fld="12" baseField="0" baseItem="0"/>
  </dataFields>
  <formats count="1">
    <format dxfId="0">
      <pivotArea collapsedLevelsAreSubtotals="1" fieldPosition="0">
        <references count="2">
          <reference field="4294967294" count="1" selected="0">
            <x v="1"/>
          </reference>
          <reference field="3" count="0"/>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8833FC-809A-469E-AE53-73B507EE63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B304" firstHeaderRow="1" firstDataRow="1" firstDataCol="1"/>
  <pivotFields count="15">
    <pivotField showAll="0"/>
    <pivotField axis="axisRow" showAll="0">
      <items count="299">
        <item x="238"/>
        <item x="7"/>
        <item x="158"/>
        <item x="45"/>
        <item x="123"/>
        <item x="129"/>
        <item x="193"/>
        <item x="223"/>
        <item x="65"/>
        <item x="189"/>
        <item x="256"/>
        <item x="161"/>
        <item x="210"/>
        <item x="68"/>
        <item x="184"/>
        <item x="30"/>
        <item x="137"/>
        <item x="105"/>
        <item x="166"/>
        <item x="35"/>
        <item x="48"/>
        <item x="13"/>
        <item x="262"/>
        <item x="265"/>
        <item x="69"/>
        <item x="228"/>
        <item x="267"/>
        <item x="31"/>
        <item x="135"/>
        <item x="185"/>
        <item x="292"/>
        <item x="182"/>
        <item x="295"/>
        <item x="112"/>
        <item x="70"/>
        <item x="3"/>
        <item x="196"/>
        <item x="79"/>
        <item x="165"/>
        <item x="188"/>
        <item x="57"/>
        <item x="90"/>
        <item x="67"/>
        <item x="160"/>
        <item x="170"/>
        <item x="11"/>
        <item x="2"/>
        <item x="114"/>
        <item x="71"/>
        <item x="275"/>
        <item x="89"/>
        <item x="225"/>
        <item x="252"/>
        <item x="34"/>
        <item x="143"/>
        <item x="82"/>
        <item x="0"/>
        <item x="78"/>
        <item x="61"/>
        <item x="75"/>
        <item x="286"/>
        <item x="263"/>
        <item x="239"/>
        <item x="194"/>
        <item x="107"/>
        <item x="133"/>
        <item x="273"/>
        <item x="10"/>
        <item x="115"/>
        <item x="276"/>
        <item x="146"/>
        <item x="215"/>
        <item x="218"/>
        <item x="235"/>
        <item x="241"/>
        <item x="162"/>
        <item x="191"/>
        <item x="197"/>
        <item x="237"/>
        <item x="220"/>
        <item x="60"/>
        <item x="85"/>
        <item x="97"/>
        <item x="140"/>
        <item x="53"/>
        <item x="206"/>
        <item x="125"/>
        <item x="47"/>
        <item x="128"/>
        <item x="280"/>
        <item x="149"/>
        <item x="22"/>
        <item x="216"/>
        <item x="176"/>
        <item x="144"/>
        <item x="110"/>
        <item x="130"/>
        <item x="59"/>
        <item x="54"/>
        <item x="246"/>
        <item x="179"/>
        <item x="234"/>
        <item x="25"/>
        <item x="208"/>
        <item x="285"/>
        <item x="284"/>
        <item x="281"/>
        <item x="151"/>
        <item x="212"/>
        <item x="226"/>
        <item x="199"/>
        <item x="56"/>
        <item x="260"/>
        <item x="116"/>
        <item x="247"/>
        <item x="84"/>
        <item x="131"/>
        <item x="26"/>
        <item x="119"/>
        <item x="244"/>
        <item x="86"/>
        <item x="39"/>
        <item x="6"/>
        <item x="180"/>
        <item x="73"/>
        <item x="268"/>
        <item x="213"/>
        <item x="121"/>
        <item x="164"/>
        <item x="38"/>
        <item x="243"/>
        <item x="278"/>
        <item x="271"/>
        <item x="64"/>
        <item x="255"/>
        <item x="186"/>
        <item x="51"/>
        <item x="168"/>
        <item x="240"/>
        <item x="211"/>
        <item x="99"/>
        <item x="63"/>
        <item x="50"/>
        <item x="18"/>
        <item x="230"/>
        <item x="224"/>
        <item x="150"/>
        <item x="72"/>
        <item x="169"/>
        <item x="231"/>
        <item x="40"/>
        <item x="62"/>
        <item x="195"/>
        <item x="257"/>
        <item x="145"/>
        <item x="214"/>
        <item x="203"/>
        <item x="290"/>
        <item x="55"/>
        <item x="33"/>
        <item x="261"/>
        <item x="21"/>
        <item x="172"/>
        <item x="93"/>
        <item x="192"/>
        <item x="113"/>
        <item x="258"/>
        <item x="124"/>
        <item x="181"/>
        <item x="253"/>
        <item x="190"/>
        <item x="163"/>
        <item x="198"/>
        <item x="37"/>
        <item x="138"/>
        <item x="94"/>
        <item x="174"/>
        <item x="264"/>
        <item x="103"/>
        <item x="153"/>
        <item x="270"/>
        <item x="15"/>
        <item x="250"/>
        <item x="100"/>
        <item x="23"/>
        <item x="111"/>
        <item x="289"/>
        <item x="46"/>
        <item x="28"/>
        <item x="8"/>
        <item x="122"/>
        <item x="81"/>
        <item x="80"/>
        <item x="155"/>
        <item x="178"/>
        <item x="88"/>
        <item x="12"/>
        <item x="157"/>
        <item x="58"/>
        <item x="43"/>
        <item x="16"/>
        <item x="152"/>
        <item x="200"/>
        <item x="108"/>
        <item x="109"/>
        <item x="127"/>
        <item x="297"/>
        <item x="104"/>
        <item x="202"/>
        <item x="95"/>
        <item x="249"/>
        <item x="87"/>
        <item x="136"/>
        <item x="24"/>
        <item x="91"/>
        <item x="96"/>
        <item x="156"/>
        <item x="141"/>
        <item x="102"/>
        <item x="14"/>
        <item x="227"/>
        <item x="167"/>
        <item x="201"/>
        <item x="98"/>
        <item x="44"/>
        <item x="83"/>
        <item x="49"/>
        <item x="296"/>
        <item x="259"/>
        <item x="120"/>
        <item x="266"/>
        <item x="288"/>
        <item x="232"/>
        <item x="229"/>
        <item x="154"/>
        <item x="42"/>
        <item x="204"/>
        <item x="101"/>
        <item x="148"/>
        <item x="242"/>
        <item x="221"/>
        <item x="5"/>
        <item x="134"/>
        <item x="74"/>
        <item x="36"/>
        <item x="147"/>
        <item x="19"/>
        <item x="209"/>
        <item x="219"/>
        <item x="279"/>
        <item x="245"/>
        <item x="287"/>
        <item x="132"/>
        <item x="66"/>
        <item x="118"/>
        <item x="159"/>
        <item x="274"/>
        <item x="272"/>
        <item x="205"/>
        <item x="175"/>
        <item x="76"/>
        <item x="117"/>
        <item x="236"/>
        <item x="207"/>
        <item x="283"/>
        <item x="177"/>
        <item x="222"/>
        <item x="17"/>
        <item x="27"/>
        <item x="251"/>
        <item x="293"/>
        <item x="20"/>
        <item x="77"/>
        <item x="217"/>
        <item x="92"/>
        <item x="183"/>
        <item x="4"/>
        <item x="139"/>
        <item x="282"/>
        <item x="1"/>
        <item x="248"/>
        <item x="171"/>
        <item x="9"/>
        <item x="29"/>
        <item x="187"/>
        <item x="277"/>
        <item x="126"/>
        <item x="142"/>
        <item x="52"/>
        <item x="254"/>
        <item x="294"/>
        <item x="41"/>
        <item x="291"/>
        <item x="32"/>
        <item x="269"/>
        <item x="106"/>
        <item x="173"/>
        <item x="233"/>
        <item t="default"/>
      </items>
    </pivotField>
    <pivotField showAll="0">
      <items count="5">
        <item x="2"/>
        <item x="3"/>
        <item x="1"/>
        <item x="0"/>
        <item t="default"/>
      </items>
    </pivotField>
    <pivotField showAll="0">
      <items count="9">
        <item x="5"/>
        <item x="0"/>
        <item x="6"/>
        <item x="7"/>
        <item x="2"/>
        <item x="4"/>
        <item x="3"/>
        <item x="1"/>
        <item t="default"/>
      </items>
    </pivotField>
    <pivotField showAll="0"/>
    <pivotField showAll="0"/>
    <pivotField showAll="0"/>
    <pivotField showAll="0"/>
    <pivotField showAll="0">
      <items count="4">
        <item x="2"/>
        <item x="0"/>
        <item x="1"/>
        <item t="default"/>
      </items>
    </pivotField>
    <pivotField showAll="0"/>
    <pivotField dataField="1" showAll="0"/>
    <pivotField showAll="0"/>
    <pivotField showAll="0"/>
    <pivotField showAll="0"/>
    <pivotField numFmtId="164" showAll="0"/>
  </pivotFields>
  <rowFields count="1">
    <field x="1"/>
  </rowFields>
  <rowItems count="2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t="grand">
      <x/>
    </i>
  </rowItems>
  <colItems count="1">
    <i/>
  </colItems>
  <dataFields count="1">
    <dataField name="Sum of Total_sales" fld="10" baseField="0" baseItem="0"/>
  </dataFields>
  <chartFormats count="4">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89A462-6C2B-4540-9CEB-DA5133748D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items count="299">
        <item x="238"/>
        <item x="7"/>
        <item x="158"/>
        <item x="45"/>
        <item x="123"/>
        <item x="129"/>
        <item x="193"/>
        <item x="223"/>
        <item x="65"/>
        <item x="189"/>
        <item x="256"/>
        <item x="161"/>
        <item x="210"/>
        <item x="68"/>
        <item x="184"/>
        <item x="30"/>
        <item x="137"/>
        <item x="105"/>
        <item x="166"/>
        <item x="35"/>
        <item x="48"/>
        <item x="13"/>
        <item x="262"/>
        <item x="265"/>
        <item x="69"/>
        <item x="228"/>
        <item x="267"/>
        <item x="31"/>
        <item x="135"/>
        <item x="185"/>
        <item x="292"/>
        <item x="182"/>
        <item x="295"/>
        <item x="112"/>
        <item x="70"/>
        <item x="3"/>
        <item x="196"/>
        <item x="79"/>
        <item x="165"/>
        <item x="188"/>
        <item x="57"/>
        <item x="90"/>
        <item x="67"/>
        <item x="160"/>
        <item x="170"/>
        <item x="11"/>
        <item x="2"/>
        <item x="114"/>
        <item x="71"/>
        <item x="275"/>
        <item x="89"/>
        <item x="225"/>
        <item x="252"/>
        <item x="34"/>
        <item x="143"/>
        <item x="82"/>
        <item x="0"/>
        <item x="78"/>
        <item x="61"/>
        <item x="75"/>
        <item x="286"/>
        <item x="263"/>
        <item x="239"/>
        <item x="194"/>
        <item x="107"/>
        <item x="133"/>
        <item x="273"/>
        <item x="10"/>
        <item x="115"/>
        <item x="276"/>
        <item x="146"/>
        <item x="215"/>
        <item x="218"/>
        <item x="235"/>
        <item x="241"/>
        <item x="162"/>
        <item x="191"/>
        <item x="197"/>
        <item x="237"/>
        <item x="220"/>
        <item x="60"/>
        <item x="85"/>
        <item x="97"/>
        <item x="140"/>
        <item x="53"/>
        <item x="206"/>
        <item x="125"/>
        <item x="47"/>
        <item x="128"/>
        <item x="280"/>
        <item x="149"/>
        <item x="22"/>
        <item x="216"/>
        <item x="176"/>
        <item x="144"/>
        <item x="110"/>
        <item x="130"/>
        <item x="59"/>
        <item x="54"/>
        <item x="246"/>
        <item x="179"/>
        <item x="234"/>
        <item x="25"/>
        <item x="208"/>
        <item x="285"/>
        <item x="284"/>
        <item x="281"/>
        <item x="151"/>
        <item x="212"/>
        <item x="226"/>
        <item x="199"/>
        <item x="56"/>
        <item x="260"/>
        <item x="116"/>
        <item x="247"/>
        <item x="84"/>
        <item x="131"/>
        <item x="26"/>
        <item x="119"/>
        <item x="244"/>
        <item x="86"/>
        <item x="39"/>
        <item x="6"/>
        <item x="180"/>
        <item x="73"/>
        <item x="268"/>
        <item x="213"/>
        <item x="121"/>
        <item x="164"/>
        <item x="38"/>
        <item x="243"/>
        <item x="278"/>
        <item x="271"/>
        <item x="64"/>
        <item x="255"/>
        <item x="186"/>
        <item x="51"/>
        <item x="168"/>
        <item x="240"/>
        <item x="211"/>
        <item x="99"/>
        <item x="63"/>
        <item x="50"/>
        <item x="18"/>
        <item x="230"/>
        <item x="224"/>
        <item x="150"/>
        <item x="72"/>
        <item x="169"/>
        <item x="231"/>
        <item x="40"/>
        <item x="62"/>
        <item x="195"/>
        <item x="257"/>
        <item x="145"/>
        <item x="214"/>
        <item x="203"/>
        <item x="290"/>
        <item x="55"/>
        <item x="33"/>
        <item x="261"/>
        <item x="21"/>
        <item x="172"/>
        <item x="93"/>
        <item x="192"/>
        <item x="113"/>
        <item x="258"/>
        <item x="124"/>
        <item x="181"/>
        <item x="253"/>
        <item x="190"/>
        <item x="163"/>
        <item x="198"/>
        <item x="37"/>
        <item x="138"/>
        <item x="94"/>
        <item x="174"/>
        <item x="264"/>
        <item x="103"/>
        <item x="153"/>
        <item x="270"/>
        <item x="15"/>
        <item x="250"/>
        <item x="100"/>
        <item x="23"/>
        <item x="111"/>
        <item x="289"/>
        <item x="46"/>
        <item x="28"/>
        <item x="8"/>
        <item x="122"/>
        <item x="81"/>
        <item x="80"/>
        <item x="155"/>
        <item x="178"/>
        <item x="88"/>
        <item x="12"/>
        <item x="157"/>
        <item x="58"/>
        <item x="43"/>
        <item x="16"/>
        <item x="152"/>
        <item x="200"/>
        <item x="108"/>
        <item x="109"/>
        <item x="127"/>
        <item x="297"/>
        <item x="104"/>
        <item x="202"/>
        <item x="95"/>
        <item x="249"/>
        <item x="87"/>
        <item x="136"/>
        <item x="24"/>
        <item x="91"/>
        <item x="96"/>
        <item x="156"/>
        <item x="141"/>
        <item x="102"/>
        <item x="14"/>
        <item x="227"/>
        <item x="167"/>
        <item x="201"/>
        <item x="98"/>
        <item x="44"/>
        <item x="83"/>
        <item x="49"/>
        <item x="296"/>
        <item x="259"/>
        <item x="120"/>
        <item x="266"/>
        <item x="288"/>
        <item x="232"/>
        <item x="229"/>
        <item x="154"/>
        <item x="42"/>
        <item x="204"/>
        <item x="101"/>
        <item x="148"/>
        <item x="242"/>
        <item x="221"/>
        <item x="5"/>
        <item x="134"/>
        <item x="74"/>
        <item x="36"/>
        <item x="147"/>
        <item x="19"/>
        <item x="209"/>
        <item x="219"/>
        <item x="279"/>
        <item x="245"/>
        <item x="287"/>
        <item x="132"/>
        <item x="66"/>
        <item x="118"/>
        <item x="159"/>
        <item x="274"/>
        <item x="272"/>
        <item x="205"/>
        <item x="175"/>
        <item x="76"/>
        <item x="117"/>
        <item x="236"/>
        <item x="207"/>
        <item x="283"/>
        <item x="177"/>
        <item x="222"/>
        <item x="17"/>
        <item x="27"/>
        <item x="251"/>
        <item x="293"/>
        <item x="20"/>
        <item x="77"/>
        <item x="217"/>
        <item x="92"/>
        <item x="183"/>
        <item x="4"/>
        <item x="139"/>
        <item x="282"/>
        <item x="1"/>
        <item x="248"/>
        <item x="171"/>
        <item x="9"/>
        <item x="29"/>
        <item x="187"/>
        <item x="277"/>
        <item x="126"/>
        <item x="142"/>
        <item x="52"/>
        <item x="254"/>
        <item x="294"/>
        <item x="41"/>
        <item x="291"/>
        <item x="32"/>
        <item x="269"/>
        <item x="106"/>
        <item x="173"/>
        <item x="233"/>
        <item t="default"/>
      </items>
    </pivotField>
    <pivotField showAll="0">
      <items count="5">
        <item x="2"/>
        <item x="3"/>
        <item x="1"/>
        <item x="0"/>
        <item t="default"/>
      </items>
    </pivotField>
    <pivotField showAll="0">
      <items count="9">
        <item x="5"/>
        <item x="0"/>
        <item x="6"/>
        <item x="7"/>
        <item x="2"/>
        <item x="4"/>
        <item x="3"/>
        <item x="1"/>
        <item t="default"/>
      </items>
    </pivotField>
    <pivotField showAll="0"/>
    <pivotField dataField="1" showAll="0"/>
    <pivotField showAll="0"/>
    <pivotField showAll="0"/>
    <pivotField showAll="0">
      <items count="4">
        <item x="2"/>
        <item x="0"/>
        <item x="1"/>
        <item t="default"/>
      </items>
    </pivotField>
    <pivotField showAll="0"/>
    <pivotField dataField="1" showAll="0"/>
    <pivotField showAll="0"/>
    <pivotField dataField="1" showAll="0"/>
    <pivotField dataField="1" showAll="0"/>
    <pivotField numFmtId="164" showAll="0"/>
  </pivotFields>
  <rowItems count="1">
    <i/>
  </rowItems>
  <colFields count="1">
    <field x="-2"/>
  </colFields>
  <colItems count="4">
    <i>
      <x/>
    </i>
    <i i="1">
      <x v="1"/>
    </i>
    <i i="2">
      <x v="2"/>
    </i>
    <i i="3">
      <x v="3"/>
    </i>
  </colItems>
  <dataFields count="4">
    <dataField name="Sum of Total_sales" fld="10" baseField="0" baseItem="0"/>
    <dataField name="Sum of Quantity" fld="5" baseField="0" baseItem="0"/>
    <dataField name="Sum of Target_sales" fld="13"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75ECECB2-EBCF-4240-B9F6-A4A377F9F7DB}" sourceName="Order_Date">
  <pivotTables>
    <pivotTable tabId="6" name="PivotTable2"/>
    <pivotTable tabId="12" name="PivotTable1"/>
    <pivotTable tabId="8" name="PivotTable4"/>
    <pivotTable tabId="5" name="PivotTable1"/>
    <pivotTable tabId="7" name="PivotTable3"/>
  </pivotTables>
  <data>
    <tabular pivotCacheId="1081164984">
      <items count="298">
        <i x="238" s="1"/>
        <i x="7" s="1"/>
        <i x="158" s="1"/>
        <i x="45" s="1"/>
        <i x="123" s="1"/>
        <i x="129" s="1"/>
        <i x="193" s="1"/>
        <i x="223" s="1"/>
        <i x="65" s="1"/>
        <i x="189" s="1"/>
        <i x="256" s="1"/>
        <i x="161" s="1"/>
        <i x="210" s="1"/>
        <i x="68" s="1"/>
        <i x="184" s="1"/>
        <i x="30" s="1"/>
        <i x="137" s="1"/>
        <i x="105" s="1"/>
        <i x="166" s="1"/>
        <i x="35" s="1"/>
        <i x="48" s="1"/>
        <i x="13" s="1"/>
        <i x="262" s="1"/>
        <i x="265" s="1"/>
        <i x="69" s="1"/>
        <i x="228" s="1"/>
        <i x="267" s="1"/>
        <i x="31" s="1"/>
        <i x="135" s="1"/>
        <i x="185" s="1"/>
        <i x="292" s="1"/>
        <i x="182" s="1"/>
        <i x="295" s="1"/>
        <i x="112" s="1"/>
        <i x="70" s="1"/>
        <i x="3" s="1"/>
        <i x="196" s="1"/>
        <i x="79" s="1"/>
        <i x="165" s="1"/>
        <i x="188" s="1"/>
        <i x="57" s="1"/>
        <i x="90" s="1"/>
        <i x="67" s="1"/>
        <i x="160" s="1"/>
        <i x="170" s="1"/>
        <i x="11" s="1"/>
        <i x="2" s="1"/>
        <i x="114" s="1"/>
        <i x="71" s="1"/>
        <i x="275" s="1"/>
        <i x="89" s="1"/>
        <i x="225" s="1"/>
        <i x="252" s="1"/>
        <i x="34" s="1"/>
        <i x="143" s="1"/>
        <i x="82" s="1"/>
        <i x="0" s="1"/>
        <i x="78" s="1"/>
        <i x="61" s="1"/>
        <i x="75" s="1"/>
        <i x="286" s="1"/>
        <i x="263" s="1"/>
        <i x="239" s="1"/>
        <i x="194" s="1"/>
        <i x="107" s="1"/>
        <i x="133" s="1"/>
        <i x="273" s="1"/>
        <i x="10" s="1"/>
        <i x="115" s="1"/>
        <i x="276" s="1"/>
        <i x="146" s="1"/>
        <i x="215" s="1"/>
        <i x="218" s="1"/>
        <i x="235" s="1"/>
        <i x="241" s="1"/>
        <i x="162" s="1"/>
        <i x="191" s="1"/>
        <i x="197" s="1"/>
        <i x="237" s="1"/>
        <i x="220" s="1"/>
        <i x="60" s="1"/>
        <i x="85" s="1"/>
        <i x="97" s="1"/>
        <i x="140" s="1"/>
        <i x="53" s="1"/>
        <i x="206" s="1"/>
        <i x="125" s="1"/>
        <i x="47" s="1"/>
        <i x="128" s="1"/>
        <i x="280" s="1"/>
        <i x="149" s="1"/>
        <i x="22" s="1"/>
        <i x="216" s="1"/>
        <i x="176" s="1"/>
        <i x="144" s="1"/>
        <i x="110" s="1"/>
        <i x="130" s="1"/>
        <i x="59" s="1"/>
        <i x="54" s="1"/>
        <i x="246" s="1"/>
        <i x="179" s="1"/>
        <i x="234" s="1"/>
        <i x="25" s="1"/>
        <i x="208" s="1"/>
        <i x="285" s="1"/>
        <i x="284" s="1"/>
        <i x="281" s="1"/>
        <i x="151" s="1"/>
        <i x="212" s="1"/>
        <i x="226" s="1"/>
        <i x="199" s="1"/>
        <i x="56" s="1"/>
        <i x="260" s="1"/>
        <i x="116" s="1"/>
        <i x="247" s="1"/>
        <i x="84" s="1"/>
        <i x="131" s="1"/>
        <i x="26" s="1"/>
        <i x="119" s="1"/>
        <i x="244" s="1"/>
        <i x="86" s="1"/>
        <i x="39" s="1"/>
        <i x="6" s="1"/>
        <i x="180" s="1"/>
        <i x="73" s="1"/>
        <i x="268" s="1"/>
        <i x="213" s="1"/>
        <i x="121" s="1"/>
        <i x="164" s="1"/>
        <i x="38" s="1"/>
        <i x="243" s="1"/>
        <i x="278" s="1"/>
        <i x="271" s="1"/>
        <i x="64" s="1"/>
        <i x="255" s="1"/>
        <i x="186" s="1"/>
        <i x="51" s="1"/>
        <i x="168" s="1"/>
        <i x="240" s="1"/>
        <i x="211" s="1"/>
        <i x="99" s="1"/>
        <i x="63" s="1"/>
        <i x="50" s="1"/>
        <i x="18" s="1"/>
        <i x="230" s="1"/>
        <i x="224" s="1"/>
        <i x="150" s="1"/>
        <i x="72" s="1"/>
        <i x="169" s="1"/>
        <i x="231" s="1"/>
        <i x="40" s="1"/>
        <i x="62" s="1"/>
        <i x="195" s="1"/>
        <i x="257" s="1"/>
        <i x="145" s="1"/>
        <i x="214" s="1"/>
        <i x="203" s="1"/>
        <i x="290" s="1"/>
        <i x="55" s="1"/>
        <i x="33" s="1"/>
        <i x="261" s="1"/>
        <i x="21" s="1"/>
        <i x="172" s="1"/>
        <i x="93" s="1"/>
        <i x="192" s="1"/>
        <i x="113" s="1"/>
        <i x="258" s="1"/>
        <i x="124" s="1"/>
        <i x="181" s="1"/>
        <i x="253" s="1"/>
        <i x="190" s="1"/>
        <i x="163" s="1"/>
        <i x="198" s="1"/>
        <i x="37" s="1"/>
        <i x="138" s="1"/>
        <i x="94" s="1"/>
        <i x="174" s="1"/>
        <i x="264" s="1"/>
        <i x="103" s="1"/>
        <i x="153" s="1"/>
        <i x="270" s="1"/>
        <i x="15" s="1"/>
        <i x="250" s="1"/>
        <i x="100" s="1"/>
        <i x="23" s="1"/>
        <i x="111" s="1"/>
        <i x="289" s="1"/>
        <i x="46" s="1"/>
        <i x="28" s="1"/>
        <i x="8" s="1"/>
        <i x="122" s="1"/>
        <i x="81" s="1"/>
        <i x="80" s="1"/>
        <i x="155" s="1"/>
        <i x="178" s="1"/>
        <i x="88" s="1"/>
        <i x="12" s="1"/>
        <i x="157" s="1"/>
        <i x="58" s="1"/>
        <i x="43" s="1"/>
        <i x="16" s="1"/>
        <i x="152" s="1"/>
        <i x="200" s="1"/>
        <i x="108" s="1"/>
        <i x="109" s="1"/>
        <i x="127" s="1"/>
        <i x="297" s="1"/>
        <i x="104" s="1"/>
        <i x="202" s="1"/>
        <i x="95" s="1"/>
        <i x="249" s="1"/>
        <i x="87" s="1"/>
        <i x="136" s="1"/>
        <i x="24" s="1"/>
        <i x="91" s="1"/>
        <i x="96" s="1"/>
        <i x="156" s="1"/>
        <i x="141" s="1"/>
        <i x="102" s="1"/>
        <i x="14" s="1"/>
        <i x="227" s="1"/>
        <i x="167" s="1"/>
        <i x="201" s="1"/>
        <i x="98" s="1"/>
        <i x="44" s="1"/>
        <i x="83" s="1"/>
        <i x="49" s="1"/>
        <i x="296" s="1"/>
        <i x="259" s="1"/>
        <i x="120" s="1"/>
        <i x="266" s="1"/>
        <i x="288" s="1"/>
        <i x="232" s="1"/>
        <i x="229" s="1"/>
        <i x="154" s="1"/>
        <i x="42" s="1"/>
        <i x="204" s="1"/>
        <i x="101" s="1"/>
        <i x="148" s="1"/>
        <i x="242" s="1"/>
        <i x="221" s="1"/>
        <i x="5" s="1"/>
        <i x="134" s="1"/>
        <i x="74" s="1"/>
        <i x="36" s="1"/>
        <i x="147" s="1"/>
        <i x="19" s="1"/>
        <i x="209" s="1"/>
        <i x="219" s="1"/>
        <i x="279" s="1"/>
        <i x="245" s="1"/>
        <i x="287" s="1"/>
        <i x="132" s="1"/>
        <i x="66" s="1"/>
        <i x="118" s="1"/>
        <i x="159" s="1"/>
        <i x="274" s="1"/>
        <i x="272" s="1"/>
        <i x="205" s="1"/>
        <i x="175" s="1"/>
        <i x="76" s="1"/>
        <i x="117" s="1"/>
        <i x="236" s="1"/>
        <i x="207" s="1"/>
        <i x="283" s="1"/>
        <i x="177" s="1"/>
        <i x="222" s="1"/>
        <i x="17" s="1"/>
        <i x="27" s="1"/>
        <i x="251" s="1"/>
        <i x="293" s="1"/>
        <i x="20" s="1"/>
        <i x="77" s="1"/>
        <i x="217" s="1"/>
        <i x="92" s="1"/>
        <i x="183" s="1"/>
        <i x="4" s="1"/>
        <i x="139" s="1"/>
        <i x="282" s="1"/>
        <i x="1" s="1"/>
        <i x="248" s="1"/>
        <i x="171" s="1"/>
        <i x="9" s="1"/>
        <i x="29" s="1"/>
        <i x="187" s="1"/>
        <i x="277" s="1"/>
        <i x="126" s="1"/>
        <i x="142" s="1"/>
        <i x="52" s="1"/>
        <i x="254" s="1"/>
        <i x="294" s="1"/>
        <i x="41" s="1"/>
        <i x="291" s="1"/>
        <i x="32" s="1"/>
        <i x="269" s="1"/>
        <i x="106" s="1"/>
        <i x="173" s="1"/>
        <i x="23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B51BC1-FE43-4708-B7A4-19B1CE0B0E65}" sourceName="Region">
  <pivotTables>
    <pivotTable tabId="6" name="PivotTable2"/>
    <pivotTable tabId="12" name="PivotTable1"/>
    <pivotTable tabId="8" name="PivotTable4"/>
    <pivotTable tabId="5" name="PivotTable1"/>
    <pivotTable tabId="7" name="PivotTable3"/>
  </pivotTables>
  <data>
    <tabular pivotCacheId="1081164984">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6C16850C-ACAD-4F3B-B0A6-DA44B8FC7D7F}" sourceName="Sales_Rep">
  <pivotTables>
    <pivotTable tabId="6" name="PivotTable2"/>
    <pivotTable tabId="12" name="PivotTable1"/>
    <pivotTable tabId="8" name="PivotTable4"/>
    <pivotTable tabId="5" name="PivotTable1"/>
    <pivotTable tabId="7" name="PivotTable3"/>
  </pivotTables>
  <data>
    <tabular pivotCacheId="1081164984">
      <items count="8">
        <i x="5" s="1"/>
        <i x="0" s="1"/>
        <i x="6" s="1"/>
        <i x="7" s="1"/>
        <i x="2" s="1"/>
        <i x="4"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E30B25-7854-41FD-A6C9-8C7B68CD5955}" sourceName="Category">
  <pivotTables>
    <pivotTable tabId="6" name="PivotTable2"/>
    <pivotTable tabId="12" name="PivotTable1"/>
    <pivotTable tabId="8" name="PivotTable4"/>
    <pivotTable tabId="5" name="PivotTable1"/>
    <pivotTable tabId="7" name="PivotTable3"/>
  </pivotTables>
  <data>
    <tabular pivotCacheId="108116498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1462D577-4420-4D28-AE58-8D354CD9719F}" cache="Slicer_Order_Date" caption="Order_Date" rowHeight="241300"/>
  <slicer name="Region" xr10:uid="{B4E06B5F-4E00-4229-B3DF-65DA95E8C7C3}" cache="Slicer_Region" caption="Region" rowHeight="241300"/>
  <slicer name="Sales_Rep" xr10:uid="{34C5F6A8-70C2-4EAC-8A70-FA7B809F8DDF}" cache="Slicer_Sales_Rep" caption="Sales_Rep" rowHeight="241300"/>
  <slicer name="Category" xr10:uid="{0B462FF8-7720-4432-AF88-F5EA38CE926D}"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1" xr10:uid="{B7AD957B-D4DD-4002-BC67-6C4F7518B0D3}" cache="Slicer_Order_Date" caption="Order_Date" rowHeight="241300"/>
  <slicer name="Region 1" xr10:uid="{A8C22B4B-04EB-4B9A-A071-BF31CB2A8CCA}" cache="Slicer_Region" caption="Region" rowHeight="241300"/>
  <slicer name="Sales_Rep 1" xr10:uid="{EBD4BC86-5B0A-4B3E-80E2-F780FF9B215C}" cache="Slicer_Sales_Rep" caption="Sales_Rep" rowHeight="241300"/>
  <slicer name="Category 1" xr10:uid="{84CFC353-77B5-4A0E-A891-85BB47F594FE}"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D12E1A-3E2B-4F26-84E1-B370D69238BE}" name="pivot_tab" displayName="pivot_tab" ref="A1:O651" totalsRowShown="0" headerRowDxfId="32" dataDxfId="30" headerRowBorderDxfId="31" tableBorderDxfId="29" totalsRowBorderDxfId="28">
  <autoFilter ref="A1:O651" xr:uid="{D6D12E1A-3E2B-4F26-84E1-B370D69238BE}">
    <filterColumn colId="8">
      <filters>
        <filter val="Electronics"/>
      </filters>
    </filterColumn>
  </autoFilter>
  <tableColumns count="15">
    <tableColumn id="1" xr3:uid="{EE47A035-578D-4E69-BBDC-35DB3CDE607D}" name="Order_ID" dataDxfId="27"/>
    <tableColumn id="2" xr3:uid="{F3FEA4A8-37E5-46C1-B04D-EB19D2DB7E14}" name="Order_Date" dataDxfId="26"/>
    <tableColumn id="3" xr3:uid="{43FAB90D-4CE8-4A0F-AC67-8C1067F1EF46}" name="Region" dataDxfId="25"/>
    <tableColumn id="4" xr3:uid="{3F139F91-608D-4A51-9618-D4946CB39968}" name="Sales_Rep" dataDxfId="24"/>
    <tableColumn id="5" xr3:uid="{4693A4B5-7FBD-4EEC-A6C0-559549A7B60D}" name="Product_ID" dataDxfId="23"/>
    <tableColumn id="6" xr3:uid="{C1E6BAB2-5B4C-4E10-9CA0-05F8D2B6F88E}" name="Quantity" dataDxfId="22"/>
    <tableColumn id="7" xr3:uid="{428682C0-9F9B-4368-8AB5-001F2204749A}" name="Unit_Price" dataDxfId="21"/>
    <tableColumn id="8" xr3:uid="{0C5EF4E5-CD61-4870-95D4-87999125A53C}" name="Product_Name " dataDxfId="20">
      <calculatedColumnFormula>_xlfn.XLOOKUP(E2, Product_Master!A:A, Product_Master!B:B)</calculatedColumnFormula>
    </tableColumn>
    <tableColumn id="9" xr3:uid="{B6D06C5F-19CB-48C3-B6D1-E4F0FAEFB65E}" name="Category" dataDxfId="19">
      <calculatedColumnFormula>_xlfn.XLOOKUP(E2, Product_Master!A:A, Product_Master!C:C)</calculatedColumnFormula>
    </tableColumn>
    <tableColumn id="10" xr3:uid="{127120D0-A10A-4F5E-AA42-3B45A92E356B}" name="Cost_Price" dataDxfId="18">
      <calculatedColumnFormula>_xlfn.XLOOKUP(E2, Product_Master!A:A, Product_Master!D:D)</calculatedColumnFormula>
    </tableColumn>
    <tableColumn id="11" xr3:uid="{8E469AB4-8209-4EA7-BE32-161E5B2F486D}" name="Total_sales" dataDxfId="17">
      <calculatedColumnFormula>F2*G2</calculatedColumnFormula>
    </tableColumn>
    <tableColumn id="12" xr3:uid="{CE0C5EC4-F279-49B7-8823-670BD0DB8E58}" name="Total_Cost" dataDxfId="16">
      <calculatedColumnFormula>F2*J2</calculatedColumnFormula>
    </tableColumn>
    <tableColumn id="13" xr3:uid="{A46C913C-6065-457F-A4FD-FAA703587ED3}" name="Profit" dataDxfId="15">
      <calculatedColumnFormula>K2-L2</calculatedColumnFormula>
    </tableColumn>
    <tableColumn id="14" xr3:uid="{20A51071-6EC7-4501-B0E2-D7BAF2713C77}" name="Target_sales" dataDxfId="14">
      <calculatedColumnFormula>_xlfn.XLOOKUP(D2, Sales_Rep_Master!A:A, Sales_Rep_Master!B:B)</calculatedColumnFormula>
    </tableColumn>
    <tableColumn id="15" xr3:uid="{6435C223-0237-4120-B728-F7BEDB9DD38C}" name="Achievement_%" dataDxfId="13">
      <calculatedColumnFormula>K2/N2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51"/>
  <sheetViews>
    <sheetView topLeftCell="A26" workbookViewId="0">
      <selection activeCell="B1" sqref="A1:XFD1048576"/>
    </sheetView>
  </sheetViews>
  <sheetFormatPr defaultRowHeight="15" x14ac:dyDescent="0.25"/>
  <cols>
    <col min="1" max="1" width="19.42578125" customWidth="1"/>
    <col min="2" max="2" width="23.42578125" customWidth="1"/>
    <col min="3" max="3" width="15.28515625" customWidth="1"/>
    <col min="4" max="4" width="20.28515625" customWidth="1"/>
    <col min="5" max="5" width="23" customWidth="1"/>
    <col min="6" max="6" width="18.5703125" customWidth="1"/>
    <col min="7" max="7" width="21.42578125" customWidth="1"/>
    <col min="8" max="8" width="29.7109375" customWidth="1"/>
    <col min="9" max="9" width="18.42578125" customWidth="1"/>
    <col min="10" max="10" width="21.42578125" customWidth="1"/>
    <col min="11" max="11" width="23.5703125" bestFit="1" customWidth="1"/>
    <col min="12" max="12" width="22.7109375" bestFit="1" customWidth="1"/>
    <col min="13" max="13" width="13.7109375" bestFit="1" customWidth="1"/>
    <col min="14" max="14" width="25.7109375" bestFit="1" customWidth="1"/>
    <col min="15" max="15" width="31.85546875" bestFit="1" customWidth="1"/>
  </cols>
  <sheetData>
    <row r="1" spans="1:15" ht="26.25" x14ac:dyDescent="0.4">
      <c r="A1" s="5" t="s">
        <v>0</v>
      </c>
      <c r="B1" s="6" t="s">
        <v>1</v>
      </c>
      <c r="C1" s="6" t="s">
        <v>2</v>
      </c>
      <c r="D1" s="6" t="s">
        <v>3</v>
      </c>
      <c r="E1" s="6" t="s">
        <v>4</v>
      </c>
      <c r="F1" s="6" t="s">
        <v>5</v>
      </c>
      <c r="G1" s="6" t="s">
        <v>6</v>
      </c>
      <c r="H1" s="6" t="s">
        <v>1005</v>
      </c>
      <c r="I1" s="6" t="s">
        <v>976</v>
      </c>
      <c r="J1" s="6" t="s">
        <v>977</v>
      </c>
      <c r="K1" s="6" t="s">
        <v>990</v>
      </c>
      <c r="L1" s="6" t="s">
        <v>991</v>
      </c>
      <c r="M1" s="6" t="s">
        <v>992</v>
      </c>
      <c r="N1" s="6" t="s">
        <v>993</v>
      </c>
      <c r="O1" s="7" t="s">
        <v>994</v>
      </c>
    </row>
    <row r="2" spans="1:15" ht="15.75" x14ac:dyDescent="0.25">
      <c r="A2" s="3" t="s">
        <v>7</v>
      </c>
      <c r="B2" s="2" t="s">
        <v>8</v>
      </c>
      <c r="C2" s="2" t="s">
        <v>9</v>
      </c>
      <c r="D2" s="2" t="s">
        <v>10</v>
      </c>
      <c r="E2" s="2" t="s">
        <v>11</v>
      </c>
      <c r="F2" s="2">
        <v>5</v>
      </c>
      <c r="G2" s="2">
        <v>2034</v>
      </c>
      <c r="H2" s="2" t="str">
        <f>_xlfn.XLOOKUP(E2, Product_Master!A:A, Product_Master!B:B)</f>
        <v>Mobile</v>
      </c>
      <c r="I2" s="2" t="str">
        <f>_xlfn.XLOOKUP(E2, Product_Master!A:A, Product_Master!C:C)</f>
        <v>Electronics</v>
      </c>
      <c r="J2" s="2">
        <f>_xlfn.XLOOKUP(E2, Product_Master!A:A, Product_Master!D:D)</f>
        <v>18000</v>
      </c>
      <c r="K2" s="2">
        <f>F2*G2</f>
        <v>10170</v>
      </c>
      <c r="L2" s="2">
        <f>F2*J2</f>
        <v>90000</v>
      </c>
      <c r="M2" s="2">
        <f t="shared" ref="M2:M65" si="0">K2-L2</f>
        <v>-79830</v>
      </c>
      <c r="N2" s="2">
        <f>_xlfn.XLOOKUP(D2, Sales_Rep_Master!A:A, Sales_Rep_Master!B:B)</f>
        <v>920000</v>
      </c>
      <c r="O2" s="4">
        <f t="shared" ref="O2:O65" si="1">K2/N2</f>
        <v>1.1054347826086957E-2</v>
      </c>
    </row>
    <row r="3" spans="1:15" ht="15.75" hidden="1" x14ac:dyDescent="0.25">
      <c r="A3" s="3" t="s">
        <v>12</v>
      </c>
      <c r="B3" s="2" t="s">
        <v>13</v>
      </c>
      <c r="C3" s="2" t="s">
        <v>9</v>
      </c>
      <c r="D3" s="2" t="s">
        <v>14</v>
      </c>
      <c r="E3" s="2" t="s">
        <v>15</v>
      </c>
      <c r="F3" s="2">
        <v>1</v>
      </c>
      <c r="G3" s="2">
        <v>2220</v>
      </c>
      <c r="H3" s="2" t="str">
        <f>_xlfn.XLOOKUP(E3, Product_Master!A:A, Product_Master!B:B)</f>
        <v>Chair</v>
      </c>
      <c r="I3" s="2" t="str">
        <f>_xlfn.XLOOKUP(E3, Product_Master!A:A, Product_Master!C:C)</f>
        <v>Furniture</v>
      </c>
      <c r="J3" s="2">
        <f>_xlfn.XLOOKUP(E3, Product_Master!A:A, Product_Master!D:D)</f>
        <v>2500</v>
      </c>
      <c r="K3" s="2">
        <f t="shared" ref="K3:K65" si="2">F3*G3</f>
        <v>2220</v>
      </c>
      <c r="L3" s="2">
        <f t="shared" ref="L3:L65" si="3">F3*J3</f>
        <v>2500</v>
      </c>
      <c r="M3" s="2">
        <f t="shared" si="0"/>
        <v>-280</v>
      </c>
      <c r="N3" s="2">
        <f>_xlfn.XLOOKUP(D3, Sales_Rep_Master!A:A, Sales_Rep_Master!B:B)</f>
        <v>880000</v>
      </c>
      <c r="O3" s="4">
        <f t="shared" si="1"/>
        <v>2.5227272727272728E-3</v>
      </c>
    </row>
    <row r="4" spans="1:15" ht="15.75" x14ac:dyDescent="0.25">
      <c r="A4" s="3" t="s">
        <v>16</v>
      </c>
      <c r="B4" s="2" t="s">
        <v>17</v>
      </c>
      <c r="C4" s="2" t="s">
        <v>18</v>
      </c>
      <c r="D4" s="2" t="s">
        <v>19</v>
      </c>
      <c r="E4" s="2" t="s">
        <v>20</v>
      </c>
      <c r="F4" s="2">
        <v>13</v>
      </c>
      <c r="G4" s="2">
        <v>1172</v>
      </c>
      <c r="H4" s="2" t="str">
        <f>_xlfn.XLOOKUP(E4, Product_Master!A:A, Product_Master!B:B)</f>
        <v>Headphones</v>
      </c>
      <c r="I4" s="2" t="str">
        <f>_xlfn.XLOOKUP(E4, Product_Master!A:A, Product_Master!C:C)</f>
        <v>Electronics</v>
      </c>
      <c r="J4" s="2">
        <f>_xlfn.XLOOKUP(E4, Product_Master!A:A, Product_Master!D:D)</f>
        <v>2000</v>
      </c>
      <c r="K4" s="2">
        <f t="shared" si="2"/>
        <v>15236</v>
      </c>
      <c r="L4" s="2">
        <f t="shared" si="3"/>
        <v>26000</v>
      </c>
      <c r="M4" s="2">
        <f t="shared" si="0"/>
        <v>-10764</v>
      </c>
      <c r="N4" s="2">
        <f>_xlfn.XLOOKUP(D4, Sales_Rep_Master!A:A, Sales_Rep_Master!B:B)</f>
        <v>950000</v>
      </c>
      <c r="O4" s="4">
        <f t="shared" si="1"/>
        <v>1.6037894736842105E-2</v>
      </c>
    </row>
    <row r="5" spans="1:15" ht="15.75" hidden="1" x14ac:dyDescent="0.25">
      <c r="A5" s="3" t="s">
        <v>21</v>
      </c>
      <c r="B5" s="2" t="s">
        <v>22</v>
      </c>
      <c r="C5" s="2" t="s">
        <v>18</v>
      </c>
      <c r="D5" s="2" t="s">
        <v>19</v>
      </c>
      <c r="E5" s="2" t="s">
        <v>23</v>
      </c>
      <c r="F5" s="2">
        <v>5</v>
      </c>
      <c r="G5" s="2">
        <v>902</v>
      </c>
      <c r="H5" s="2" t="str">
        <f>_xlfn.XLOOKUP(E5, Product_Master!A:A, Product_Master!B:B)</f>
        <v>Sofa</v>
      </c>
      <c r="I5" s="2" t="str">
        <f>_xlfn.XLOOKUP(E5, Product_Master!A:A, Product_Master!C:C)</f>
        <v>Furniture</v>
      </c>
      <c r="J5" s="2">
        <f>_xlfn.XLOOKUP(E5, Product_Master!A:A, Product_Master!D:D)</f>
        <v>15000</v>
      </c>
      <c r="K5" s="2">
        <f t="shared" si="2"/>
        <v>4510</v>
      </c>
      <c r="L5" s="2">
        <f t="shared" si="3"/>
        <v>75000</v>
      </c>
      <c r="M5" s="2">
        <f t="shared" si="0"/>
        <v>-70490</v>
      </c>
      <c r="N5" s="2">
        <f>_xlfn.XLOOKUP(D5, Sales_Rep_Master!A:A, Sales_Rep_Master!B:B)</f>
        <v>950000</v>
      </c>
      <c r="O5" s="4">
        <f t="shared" si="1"/>
        <v>4.7473684210526312E-3</v>
      </c>
    </row>
    <row r="6" spans="1:15" ht="15.75" x14ac:dyDescent="0.25">
      <c r="A6" s="3" t="s">
        <v>24</v>
      </c>
      <c r="B6" s="2" t="s">
        <v>25</v>
      </c>
      <c r="C6" s="2" t="s">
        <v>26</v>
      </c>
      <c r="D6" s="2" t="s">
        <v>27</v>
      </c>
      <c r="E6" s="2" t="s">
        <v>28</v>
      </c>
      <c r="F6" s="2">
        <v>9</v>
      </c>
      <c r="G6" s="2">
        <v>4018</v>
      </c>
      <c r="H6" s="2" t="str">
        <f>_xlfn.XLOOKUP(E6, Product_Master!A:A, Product_Master!B:B)</f>
        <v>Laptop</v>
      </c>
      <c r="I6" s="2" t="str">
        <f>_xlfn.XLOOKUP(E6, Product_Master!A:A, Product_Master!C:C)</f>
        <v>Electronics</v>
      </c>
      <c r="J6" s="2">
        <f>_xlfn.XLOOKUP(E6, Product_Master!A:A, Product_Master!D:D)</f>
        <v>35000</v>
      </c>
      <c r="K6" s="2">
        <f t="shared" si="2"/>
        <v>36162</v>
      </c>
      <c r="L6" s="2">
        <f t="shared" si="3"/>
        <v>315000</v>
      </c>
      <c r="M6" s="2">
        <f t="shared" si="0"/>
        <v>-278838</v>
      </c>
      <c r="N6" s="2">
        <f>_xlfn.XLOOKUP(D6, Sales_Rep_Master!A:A, Sales_Rep_Master!B:B)</f>
        <v>800000</v>
      </c>
      <c r="O6" s="4">
        <f t="shared" si="1"/>
        <v>4.52025E-2</v>
      </c>
    </row>
    <row r="7" spans="1:15" ht="15.75" hidden="1" x14ac:dyDescent="0.25">
      <c r="A7" s="3" t="s">
        <v>29</v>
      </c>
      <c r="B7" s="2" t="s">
        <v>30</v>
      </c>
      <c r="C7" s="2" t="s">
        <v>9</v>
      </c>
      <c r="D7" s="2" t="s">
        <v>14</v>
      </c>
      <c r="E7" s="2" t="s">
        <v>15</v>
      </c>
      <c r="F7" s="2">
        <v>5</v>
      </c>
      <c r="G7" s="2">
        <v>6915</v>
      </c>
      <c r="H7" s="2" t="str">
        <f>_xlfn.XLOOKUP(E7, Product_Master!A:A, Product_Master!B:B)</f>
        <v>Chair</v>
      </c>
      <c r="I7" s="2" t="str">
        <f>_xlfn.XLOOKUP(E7, Product_Master!A:A, Product_Master!C:C)</f>
        <v>Furniture</v>
      </c>
      <c r="J7" s="2">
        <f>_xlfn.XLOOKUP(E7, Product_Master!A:A, Product_Master!D:D)</f>
        <v>2500</v>
      </c>
      <c r="K7" s="2">
        <f t="shared" si="2"/>
        <v>34575</v>
      </c>
      <c r="L7" s="2">
        <f t="shared" si="3"/>
        <v>12500</v>
      </c>
      <c r="M7" s="2">
        <f t="shared" si="0"/>
        <v>22075</v>
      </c>
      <c r="N7" s="2">
        <f>_xlfn.XLOOKUP(D7, Sales_Rep_Master!A:A, Sales_Rep_Master!B:B)</f>
        <v>880000</v>
      </c>
      <c r="O7" s="4">
        <f t="shared" si="1"/>
        <v>3.9289772727272729E-2</v>
      </c>
    </row>
    <row r="8" spans="1:15" ht="15.75" hidden="1" x14ac:dyDescent="0.25">
      <c r="A8" s="3" t="s">
        <v>31</v>
      </c>
      <c r="B8" s="2" t="s">
        <v>32</v>
      </c>
      <c r="C8" s="2" t="s">
        <v>33</v>
      </c>
      <c r="D8" s="2" t="s">
        <v>14</v>
      </c>
      <c r="E8" s="2" t="s">
        <v>34</v>
      </c>
      <c r="F8" s="2">
        <v>1</v>
      </c>
      <c r="G8" s="2">
        <v>1591</v>
      </c>
      <c r="H8" s="2" t="str">
        <f>_xlfn.XLOOKUP(E8, Product_Master!A:A, Product_Master!B:B)</f>
        <v>Jacket</v>
      </c>
      <c r="I8" s="2" t="str">
        <f>_xlfn.XLOOKUP(E8, Product_Master!A:A, Product_Master!C:C)</f>
        <v>Clothing</v>
      </c>
      <c r="J8" s="2">
        <f>_xlfn.XLOOKUP(E8, Product_Master!A:A, Product_Master!D:D)</f>
        <v>1500</v>
      </c>
      <c r="K8" s="2">
        <f t="shared" si="2"/>
        <v>1591</v>
      </c>
      <c r="L8" s="2">
        <f t="shared" si="3"/>
        <v>1500</v>
      </c>
      <c r="M8" s="2">
        <f t="shared" si="0"/>
        <v>91</v>
      </c>
      <c r="N8" s="2">
        <f>_xlfn.XLOOKUP(D8, Sales_Rep_Master!A:A, Sales_Rep_Master!B:B)</f>
        <v>880000</v>
      </c>
      <c r="O8" s="4">
        <f t="shared" si="1"/>
        <v>1.8079545454545455E-3</v>
      </c>
    </row>
    <row r="9" spans="1:15" ht="15.75" x14ac:dyDescent="0.25">
      <c r="A9" s="3" t="s">
        <v>35</v>
      </c>
      <c r="B9" s="2" t="s">
        <v>36</v>
      </c>
      <c r="C9" s="2" t="s">
        <v>9</v>
      </c>
      <c r="D9" s="2" t="s">
        <v>37</v>
      </c>
      <c r="E9" s="2" t="s">
        <v>11</v>
      </c>
      <c r="F9" s="2">
        <v>3</v>
      </c>
      <c r="G9" s="2">
        <v>2844</v>
      </c>
      <c r="H9" s="2" t="str">
        <f>_xlfn.XLOOKUP(E9, Product_Master!A:A, Product_Master!B:B)</f>
        <v>Mobile</v>
      </c>
      <c r="I9" s="2" t="str">
        <f>_xlfn.XLOOKUP(E9, Product_Master!A:A, Product_Master!C:C)</f>
        <v>Electronics</v>
      </c>
      <c r="J9" s="2">
        <f>_xlfn.XLOOKUP(E9, Product_Master!A:A, Product_Master!D:D)</f>
        <v>18000</v>
      </c>
      <c r="K9" s="2">
        <f t="shared" si="2"/>
        <v>8532</v>
      </c>
      <c r="L9" s="2">
        <f t="shared" si="3"/>
        <v>54000</v>
      </c>
      <c r="M9" s="2">
        <f t="shared" si="0"/>
        <v>-45468</v>
      </c>
      <c r="N9" s="2">
        <f>_xlfn.XLOOKUP(D9, Sales_Rep_Master!A:A, Sales_Rep_Master!B:B)</f>
        <v>850000</v>
      </c>
      <c r="O9" s="4">
        <f t="shared" si="1"/>
        <v>1.003764705882353E-2</v>
      </c>
    </row>
    <row r="10" spans="1:15" ht="15.75" hidden="1" x14ac:dyDescent="0.25">
      <c r="A10" s="3" t="s">
        <v>38</v>
      </c>
      <c r="B10" s="2" t="s">
        <v>39</v>
      </c>
      <c r="C10" s="2" t="s">
        <v>18</v>
      </c>
      <c r="D10" s="2" t="s">
        <v>19</v>
      </c>
      <c r="E10" s="2" t="s">
        <v>40</v>
      </c>
      <c r="F10" s="2">
        <v>9</v>
      </c>
      <c r="G10" s="2">
        <v>6821</v>
      </c>
      <c r="H10" s="2" t="str">
        <f>_xlfn.XLOOKUP(E10, Product_Master!A:A, Product_Master!B:B)</f>
        <v>Table</v>
      </c>
      <c r="I10" s="2" t="str">
        <f>_xlfn.XLOOKUP(E10, Product_Master!A:A, Product_Master!C:C)</f>
        <v>Furniture</v>
      </c>
      <c r="J10" s="2">
        <f>_xlfn.XLOOKUP(E10, Product_Master!A:A, Product_Master!D:D)</f>
        <v>7000</v>
      </c>
      <c r="K10" s="2">
        <f t="shared" si="2"/>
        <v>61389</v>
      </c>
      <c r="L10" s="2">
        <f t="shared" si="3"/>
        <v>63000</v>
      </c>
      <c r="M10" s="2">
        <f t="shared" si="0"/>
        <v>-1611</v>
      </c>
      <c r="N10" s="2">
        <f>_xlfn.XLOOKUP(D10, Sales_Rep_Master!A:A, Sales_Rep_Master!B:B)</f>
        <v>950000</v>
      </c>
      <c r="O10" s="4">
        <f t="shared" si="1"/>
        <v>6.4619999999999997E-2</v>
      </c>
    </row>
    <row r="11" spans="1:15" ht="15.75" x14ac:dyDescent="0.25">
      <c r="A11" s="3" t="s">
        <v>41</v>
      </c>
      <c r="B11" s="2" t="s">
        <v>42</v>
      </c>
      <c r="C11" s="2" t="s">
        <v>26</v>
      </c>
      <c r="D11" s="2" t="s">
        <v>14</v>
      </c>
      <c r="E11" s="2" t="s">
        <v>28</v>
      </c>
      <c r="F11" s="2">
        <v>14</v>
      </c>
      <c r="G11" s="2">
        <v>603</v>
      </c>
      <c r="H11" s="2" t="str">
        <f>_xlfn.XLOOKUP(E11, Product_Master!A:A, Product_Master!B:B)</f>
        <v>Laptop</v>
      </c>
      <c r="I11" s="2" t="str">
        <f>_xlfn.XLOOKUP(E11, Product_Master!A:A, Product_Master!C:C)</f>
        <v>Electronics</v>
      </c>
      <c r="J11" s="2">
        <f>_xlfn.XLOOKUP(E11, Product_Master!A:A, Product_Master!D:D)</f>
        <v>35000</v>
      </c>
      <c r="K11" s="2">
        <f t="shared" si="2"/>
        <v>8442</v>
      </c>
      <c r="L11" s="2">
        <f t="shared" si="3"/>
        <v>490000</v>
      </c>
      <c r="M11" s="2">
        <f t="shared" si="0"/>
        <v>-481558</v>
      </c>
      <c r="N11" s="2">
        <f>_xlfn.XLOOKUP(D11, Sales_Rep_Master!A:A, Sales_Rep_Master!B:B)</f>
        <v>880000</v>
      </c>
      <c r="O11" s="4">
        <f t="shared" si="1"/>
        <v>9.5931818181818184E-3</v>
      </c>
    </row>
    <row r="12" spans="1:15" ht="15.75" hidden="1" x14ac:dyDescent="0.25">
      <c r="A12" s="3" t="s">
        <v>43</v>
      </c>
      <c r="B12" s="2" t="s">
        <v>44</v>
      </c>
      <c r="C12" s="2" t="s">
        <v>18</v>
      </c>
      <c r="D12" s="2" t="s">
        <v>10</v>
      </c>
      <c r="E12" s="2" t="s">
        <v>23</v>
      </c>
      <c r="F12" s="2">
        <v>2</v>
      </c>
      <c r="G12" s="2">
        <v>3879</v>
      </c>
      <c r="H12" s="2" t="str">
        <f>_xlfn.XLOOKUP(E12, Product_Master!A:A, Product_Master!B:B)</f>
        <v>Sofa</v>
      </c>
      <c r="I12" s="2" t="str">
        <f>_xlfn.XLOOKUP(E12, Product_Master!A:A, Product_Master!C:C)</f>
        <v>Furniture</v>
      </c>
      <c r="J12" s="2">
        <f>_xlfn.XLOOKUP(E12, Product_Master!A:A, Product_Master!D:D)</f>
        <v>15000</v>
      </c>
      <c r="K12" s="2">
        <f t="shared" si="2"/>
        <v>7758</v>
      </c>
      <c r="L12" s="2">
        <f t="shared" si="3"/>
        <v>30000</v>
      </c>
      <c r="M12" s="2">
        <f t="shared" si="0"/>
        <v>-22242</v>
      </c>
      <c r="N12" s="2">
        <f>_xlfn.XLOOKUP(D12, Sales_Rep_Master!A:A, Sales_Rep_Master!B:B)</f>
        <v>920000</v>
      </c>
      <c r="O12" s="4">
        <f t="shared" si="1"/>
        <v>8.4326086956521742E-3</v>
      </c>
    </row>
    <row r="13" spans="1:15" ht="15.75" hidden="1" x14ac:dyDescent="0.25">
      <c r="A13" s="3" t="s">
        <v>45</v>
      </c>
      <c r="B13" s="2" t="s">
        <v>46</v>
      </c>
      <c r="C13" s="2" t="s">
        <v>26</v>
      </c>
      <c r="D13" s="2" t="s">
        <v>10</v>
      </c>
      <c r="E13" s="2" t="s">
        <v>23</v>
      </c>
      <c r="F13" s="2">
        <v>1</v>
      </c>
      <c r="G13" s="2">
        <v>7391</v>
      </c>
      <c r="H13" s="2" t="str">
        <f>_xlfn.XLOOKUP(E13, Product_Master!A:A, Product_Master!B:B)</f>
        <v>Sofa</v>
      </c>
      <c r="I13" s="2" t="str">
        <f>_xlfn.XLOOKUP(E13, Product_Master!A:A, Product_Master!C:C)</f>
        <v>Furniture</v>
      </c>
      <c r="J13" s="2">
        <f>_xlfn.XLOOKUP(E13, Product_Master!A:A, Product_Master!D:D)</f>
        <v>15000</v>
      </c>
      <c r="K13" s="2">
        <f t="shared" si="2"/>
        <v>7391</v>
      </c>
      <c r="L13" s="2">
        <f t="shared" si="3"/>
        <v>15000</v>
      </c>
      <c r="M13" s="2">
        <f t="shared" si="0"/>
        <v>-7609</v>
      </c>
      <c r="N13" s="2">
        <f>_xlfn.XLOOKUP(D13, Sales_Rep_Master!A:A, Sales_Rep_Master!B:B)</f>
        <v>920000</v>
      </c>
      <c r="O13" s="4">
        <f t="shared" si="1"/>
        <v>8.0336956521739125E-3</v>
      </c>
    </row>
    <row r="14" spans="1:15" ht="15.75" hidden="1" x14ac:dyDescent="0.25">
      <c r="A14" s="3" t="s">
        <v>47</v>
      </c>
      <c r="B14" s="2" t="s">
        <v>48</v>
      </c>
      <c r="C14" s="2" t="s">
        <v>33</v>
      </c>
      <c r="D14" s="2" t="s">
        <v>10</v>
      </c>
      <c r="E14" s="2" t="s">
        <v>23</v>
      </c>
      <c r="F14" s="2">
        <v>3</v>
      </c>
      <c r="G14" s="2">
        <v>4255</v>
      </c>
      <c r="H14" s="2" t="str">
        <f>_xlfn.XLOOKUP(E14, Product_Master!A:A, Product_Master!B:B)</f>
        <v>Sofa</v>
      </c>
      <c r="I14" s="2" t="str">
        <f>_xlfn.XLOOKUP(E14, Product_Master!A:A, Product_Master!C:C)</f>
        <v>Furniture</v>
      </c>
      <c r="J14" s="2">
        <f>_xlfn.XLOOKUP(E14, Product_Master!A:A, Product_Master!D:D)</f>
        <v>15000</v>
      </c>
      <c r="K14" s="2">
        <f t="shared" si="2"/>
        <v>12765</v>
      </c>
      <c r="L14" s="2">
        <f t="shared" si="3"/>
        <v>45000</v>
      </c>
      <c r="M14" s="2">
        <f t="shared" si="0"/>
        <v>-32235</v>
      </c>
      <c r="N14" s="2">
        <f>_xlfn.XLOOKUP(D14, Sales_Rep_Master!A:A, Sales_Rep_Master!B:B)</f>
        <v>920000</v>
      </c>
      <c r="O14" s="4">
        <f t="shared" si="1"/>
        <v>1.3875E-2</v>
      </c>
    </row>
    <row r="15" spans="1:15" ht="15.75" hidden="1" x14ac:dyDescent="0.25">
      <c r="A15" s="3" t="s">
        <v>49</v>
      </c>
      <c r="B15" s="2" t="s">
        <v>50</v>
      </c>
      <c r="C15" s="2" t="s">
        <v>9</v>
      </c>
      <c r="D15" s="2" t="s">
        <v>51</v>
      </c>
      <c r="E15" s="2" t="s">
        <v>34</v>
      </c>
      <c r="F15" s="2">
        <v>3</v>
      </c>
      <c r="G15" s="2">
        <v>1751</v>
      </c>
      <c r="H15" s="2" t="str">
        <f>_xlfn.XLOOKUP(E15, Product_Master!A:A, Product_Master!B:B)</f>
        <v>Jacket</v>
      </c>
      <c r="I15" s="2" t="str">
        <f>_xlfn.XLOOKUP(E15, Product_Master!A:A, Product_Master!C:C)</f>
        <v>Clothing</v>
      </c>
      <c r="J15" s="2">
        <f>_xlfn.XLOOKUP(E15, Product_Master!A:A, Product_Master!D:D)</f>
        <v>1500</v>
      </c>
      <c r="K15" s="2">
        <f t="shared" si="2"/>
        <v>5253</v>
      </c>
      <c r="L15" s="2">
        <f t="shared" si="3"/>
        <v>4500</v>
      </c>
      <c r="M15" s="2">
        <f t="shared" si="0"/>
        <v>753</v>
      </c>
      <c r="N15" s="2">
        <f>_xlfn.XLOOKUP(D15, Sales_Rep_Master!A:A, Sales_Rep_Master!B:B)</f>
        <v>900000</v>
      </c>
      <c r="O15" s="4">
        <f t="shared" si="1"/>
        <v>5.8366666666666671E-3</v>
      </c>
    </row>
    <row r="16" spans="1:15" ht="15.75" hidden="1" x14ac:dyDescent="0.25">
      <c r="A16" s="3" t="s">
        <v>52</v>
      </c>
      <c r="B16" s="2" t="s">
        <v>53</v>
      </c>
      <c r="C16" s="2" t="s">
        <v>33</v>
      </c>
      <c r="D16" s="2" t="s">
        <v>54</v>
      </c>
      <c r="E16" s="2" t="s">
        <v>15</v>
      </c>
      <c r="F16" s="2">
        <v>13</v>
      </c>
      <c r="G16" s="2">
        <v>1420</v>
      </c>
      <c r="H16" s="2" t="str">
        <f>_xlfn.XLOOKUP(E16, Product_Master!A:A, Product_Master!B:B)</f>
        <v>Chair</v>
      </c>
      <c r="I16" s="2" t="str">
        <f>_xlfn.XLOOKUP(E16, Product_Master!A:A, Product_Master!C:C)</f>
        <v>Furniture</v>
      </c>
      <c r="J16" s="2">
        <f>_xlfn.XLOOKUP(E16, Product_Master!A:A, Product_Master!D:D)</f>
        <v>2500</v>
      </c>
      <c r="K16" s="2">
        <f t="shared" si="2"/>
        <v>18460</v>
      </c>
      <c r="L16" s="2">
        <f t="shared" si="3"/>
        <v>32500</v>
      </c>
      <c r="M16" s="2">
        <f t="shared" si="0"/>
        <v>-14040</v>
      </c>
      <c r="N16" s="2">
        <f>_xlfn.XLOOKUP(D16, Sales_Rep_Master!A:A, Sales_Rep_Master!B:B)</f>
        <v>890000</v>
      </c>
      <c r="O16" s="4">
        <f t="shared" si="1"/>
        <v>2.0741573033707866E-2</v>
      </c>
    </row>
    <row r="17" spans="1:15" ht="15.75" hidden="1" x14ac:dyDescent="0.25">
      <c r="A17" s="3" t="s">
        <v>55</v>
      </c>
      <c r="B17" s="2" t="s">
        <v>56</v>
      </c>
      <c r="C17" s="2" t="s">
        <v>9</v>
      </c>
      <c r="D17" s="2" t="s">
        <v>54</v>
      </c>
      <c r="E17" s="2" t="s">
        <v>15</v>
      </c>
      <c r="F17" s="2">
        <v>5</v>
      </c>
      <c r="G17" s="2">
        <v>5006</v>
      </c>
      <c r="H17" s="2" t="str">
        <f>_xlfn.XLOOKUP(E17, Product_Master!A:A, Product_Master!B:B)</f>
        <v>Chair</v>
      </c>
      <c r="I17" s="2" t="str">
        <f>_xlfn.XLOOKUP(E17, Product_Master!A:A, Product_Master!C:C)</f>
        <v>Furniture</v>
      </c>
      <c r="J17" s="2">
        <f>_xlfn.XLOOKUP(E17, Product_Master!A:A, Product_Master!D:D)</f>
        <v>2500</v>
      </c>
      <c r="K17" s="2">
        <f t="shared" si="2"/>
        <v>25030</v>
      </c>
      <c r="L17" s="2">
        <f t="shared" si="3"/>
        <v>12500</v>
      </c>
      <c r="M17" s="2">
        <f t="shared" si="0"/>
        <v>12530</v>
      </c>
      <c r="N17" s="2">
        <f>_xlfn.XLOOKUP(D17, Sales_Rep_Master!A:A, Sales_Rep_Master!B:B)</f>
        <v>890000</v>
      </c>
      <c r="O17" s="4">
        <f t="shared" si="1"/>
        <v>2.8123595505617976E-2</v>
      </c>
    </row>
    <row r="18" spans="1:15" ht="15.75" hidden="1" x14ac:dyDescent="0.25">
      <c r="A18" s="3" t="s">
        <v>57</v>
      </c>
      <c r="B18" s="2" t="s">
        <v>58</v>
      </c>
      <c r="C18" s="2" t="s">
        <v>33</v>
      </c>
      <c r="D18" s="2" t="s">
        <v>19</v>
      </c>
      <c r="E18" s="2" t="s">
        <v>34</v>
      </c>
      <c r="F18" s="2">
        <v>3</v>
      </c>
      <c r="G18" s="2">
        <v>5214</v>
      </c>
      <c r="H18" s="2" t="str">
        <f>_xlfn.XLOOKUP(E18, Product_Master!A:A, Product_Master!B:B)</f>
        <v>Jacket</v>
      </c>
      <c r="I18" s="2" t="str">
        <f>_xlfn.XLOOKUP(E18, Product_Master!A:A, Product_Master!C:C)</f>
        <v>Clothing</v>
      </c>
      <c r="J18" s="2">
        <f>_xlfn.XLOOKUP(E18, Product_Master!A:A, Product_Master!D:D)</f>
        <v>1500</v>
      </c>
      <c r="K18" s="2">
        <f t="shared" si="2"/>
        <v>15642</v>
      </c>
      <c r="L18" s="2">
        <f t="shared" si="3"/>
        <v>4500</v>
      </c>
      <c r="M18" s="2">
        <f t="shared" si="0"/>
        <v>11142</v>
      </c>
      <c r="N18" s="2">
        <f>_xlfn.XLOOKUP(D18, Sales_Rep_Master!A:A, Sales_Rep_Master!B:B)</f>
        <v>950000</v>
      </c>
      <c r="O18" s="4">
        <f t="shared" si="1"/>
        <v>1.6465263157894736E-2</v>
      </c>
    </row>
    <row r="19" spans="1:15" ht="15.75" hidden="1" x14ac:dyDescent="0.25">
      <c r="A19" s="3" t="s">
        <v>59</v>
      </c>
      <c r="B19" s="2" t="s">
        <v>60</v>
      </c>
      <c r="C19" s="2" t="s">
        <v>18</v>
      </c>
      <c r="D19" s="2" t="s">
        <v>14</v>
      </c>
      <c r="E19" s="2" t="s">
        <v>61</v>
      </c>
      <c r="F19" s="2">
        <v>8</v>
      </c>
      <c r="G19" s="2">
        <v>6044</v>
      </c>
      <c r="H19" s="2" t="str">
        <f>_xlfn.XLOOKUP(E19, Product_Master!A:A, Product_Master!B:B)</f>
        <v>Shoes</v>
      </c>
      <c r="I19" s="2" t="str">
        <f>_xlfn.XLOOKUP(E19, Product_Master!A:A, Product_Master!C:C)</f>
        <v>Clothing</v>
      </c>
      <c r="J19" s="2">
        <f>_xlfn.XLOOKUP(E19, Product_Master!A:A, Product_Master!D:D)</f>
        <v>2000</v>
      </c>
      <c r="K19" s="2">
        <f t="shared" si="2"/>
        <v>48352</v>
      </c>
      <c r="L19" s="2">
        <f t="shared" si="3"/>
        <v>16000</v>
      </c>
      <c r="M19" s="2">
        <f t="shared" si="0"/>
        <v>32352</v>
      </c>
      <c r="N19" s="2">
        <f>_xlfn.XLOOKUP(D19, Sales_Rep_Master!A:A, Sales_Rep_Master!B:B)</f>
        <v>880000</v>
      </c>
      <c r="O19" s="4">
        <f t="shared" si="1"/>
        <v>5.4945454545454547E-2</v>
      </c>
    </row>
    <row r="20" spans="1:15" ht="15.75" hidden="1" x14ac:dyDescent="0.25">
      <c r="A20" s="3" t="s">
        <v>62</v>
      </c>
      <c r="B20" s="2" t="s">
        <v>63</v>
      </c>
      <c r="C20" s="2" t="s">
        <v>33</v>
      </c>
      <c r="D20" s="2" t="s">
        <v>54</v>
      </c>
      <c r="E20" s="2" t="s">
        <v>61</v>
      </c>
      <c r="F20" s="2">
        <v>14</v>
      </c>
      <c r="G20" s="2">
        <v>2253</v>
      </c>
      <c r="H20" s="2" t="str">
        <f>_xlfn.XLOOKUP(E20, Product_Master!A:A, Product_Master!B:B)</f>
        <v>Shoes</v>
      </c>
      <c r="I20" s="2" t="str">
        <f>_xlfn.XLOOKUP(E20, Product_Master!A:A, Product_Master!C:C)</f>
        <v>Clothing</v>
      </c>
      <c r="J20" s="2">
        <f>_xlfn.XLOOKUP(E20, Product_Master!A:A, Product_Master!D:D)</f>
        <v>2000</v>
      </c>
      <c r="K20" s="2">
        <f t="shared" si="2"/>
        <v>31542</v>
      </c>
      <c r="L20" s="2">
        <f t="shared" si="3"/>
        <v>28000</v>
      </c>
      <c r="M20" s="2">
        <f t="shared" si="0"/>
        <v>3542</v>
      </c>
      <c r="N20" s="2">
        <f>_xlfn.XLOOKUP(D20, Sales_Rep_Master!A:A, Sales_Rep_Master!B:B)</f>
        <v>890000</v>
      </c>
      <c r="O20" s="4">
        <f t="shared" si="1"/>
        <v>3.5440449438202244E-2</v>
      </c>
    </row>
    <row r="21" spans="1:15" ht="15.75" hidden="1" x14ac:dyDescent="0.25">
      <c r="A21" s="3" t="s">
        <v>64</v>
      </c>
      <c r="B21" s="2" t="s">
        <v>65</v>
      </c>
      <c r="C21" s="2" t="s">
        <v>9</v>
      </c>
      <c r="D21" s="2" t="s">
        <v>51</v>
      </c>
      <c r="E21" s="2" t="s">
        <v>40</v>
      </c>
      <c r="F21" s="2">
        <v>11</v>
      </c>
      <c r="G21" s="2">
        <v>7119</v>
      </c>
      <c r="H21" s="2" t="str">
        <f>_xlfn.XLOOKUP(E21, Product_Master!A:A, Product_Master!B:B)</f>
        <v>Table</v>
      </c>
      <c r="I21" s="2" t="str">
        <f>_xlfn.XLOOKUP(E21, Product_Master!A:A, Product_Master!C:C)</f>
        <v>Furniture</v>
      </c>
      <c r="J21" s="2">
        <f>_xlfn.XLOOKUP(E21, Product_Master!A:A, Product_Master!D:D)</f>
        <v>7000</v>
      </c>
      <c r="K21" s="2">
        <f t="shared" si="2"/>
        <v>78309</v>
      </c>
      <c r="L21" s="2">
        <f t="shared" si="3"/>
        <v>77000</v>
      </c>
      <c r="M21" s="2">
        <f t="shared" si="0"/>
        <v>1309</v>
      </c>
      <c r="N21" s="2">
        <f>_xlfn.XLOOKUP(D21, Sales_Rep_Master!A:A, Sales_Rep_Master!B:B)</f>
        <v>900000</v>
      </c>
      <c r="O21" s="4">
        <f t="shared" si="1"/>
        <v>8.7010000000000004E-2</v>
      </c>
    </row>
    <row r="22" spans="1:15" ht="15.75" x14ac:dyDescent="0.25">
      <c r="A22" s="3" t="s">
        <v>66</v>
      </c>
      <c r="B22" s="2" t="s">
        <v>67</v>
      </c>
      <c r="C22" s="2" t="s">
        <v>33</v>
      </c>
      <c r="D22" s="2" t="s">
        <v>19</v>
      </c>
      <c r="E22" s="2" t="s">
        <v>20</v>
      </c>
      <c r="F22" s="2">
        <v>3</v>
      </c>
      <c r="G22" s="2">
        <v>7445</v>
      </c>
      <c r="H22" s="2" t="str">
        <f>_xlfn.XLOOKUP(E22, Product_Master!A:A, Product_Master!B:B)</f>
        <v>Headphones</v>
      </c>
      <c r="I22" s="2" t="str">
        <f>_xlfn.XLOOKUP(E22, Product_Master!A:A, Product_Master!C:C)</f>
        <v>Electronics</v>
      </c>
      <c r="J22" s="2">
        <f>_xlfn.XLOOKUP(E22, Product_Master!A:A, Product_Master!D:D)</f>
        <v>2000</v>
      </c>
      <c r="K22" s="2">
        <f t="shared" si="2"/>
        <v>22335</v>
      </c>
      <c r="L22" s="2">
        <f t="shared" si="3"/>
        <v>6000</v>
      </c>
      <c r="M22" s="2">
        <f t="shared" si="0"/>
        <v>16335</v>
      </c>
      <c r="N22" s="2">
        <f>_xlfn.XLOOKUP(D22, Sales_Rep_Master!A:A, Sales_Rep_Master!B:B)</f>
        <v>950000</v>
      </c>
      <c r="O22" s="4">
        <f t="shared" si="1"/>
        <v>2.3510526315789475E-2</v>
      </c>
    </row>
    <row r="23" spans="1:15" ht="15.75" hidden="1" x14ac:dyDescent="0.25">
      <c r="A23" s="3" t="s">
        <v>68</v>
      </c>
      <c r="B23" s="2" t="s">
        <v>69</v>
      </c>
      <c r="C23" s="2" t="s">
        <v>18</v>
      </c>
      <c r="D23" s="2" t="s">
        <v>27</v>
      </c>
      <c r="E23" s="2" t="s">
        <v>15</v>
      </c>
      <c r="F23" s="2">
        <v>15</v>
      </c>
      <c r="G23" s="2">
        <v>3342</v>
      </c>
      <c r="H23" s="2" t="str">
        <f>_xlfn.XLOOKUP(E23, Product_Master!A:A, Product_Master!B:B)</f>
        <v>Chair</v>
      </c>
      <c r="I23" s="2" t="str">
        <f>_xlfn.XLOOKUP(E23, Product_Master!A:A, Product_Master!C:C)</f>
        <v>Furniture</v>
      </c>
      <c r="J23" s="2">
        <f>_xlfn.XLOOKUP(E23, Product_Master!A:A, Product_Master!D:D)</f>
        <v>2500</v>
      </c>
      <c r="K23" s="2">
        <f t="shared" si="2"/>
        <v>50130</v>
      </c>
      <c r="L23" s="2">
        <f t="shared" si="3"/>
        <v>37500</v>
      </c>
      <c r="M23" s="2">
        <f t="shared" si="0"/>
        <v>12630</v>
      </c>
      <c r="N23" s="2">
        <f>_xlfn.XLOOKUP(D23, Sales_Rep_Master!A:A, Sales_Rep_Master!B:B)</f>
        <v>800000</v>
      </c>
      <c r="O23" s="4">
        <f t="shared" si="1"/>
        <v>6.2662499999999996E-2</v>
      </c>
    </row>
    <row r="24" spans="1:15" ht="15.75" hidden="1" x14ac:dyDescent="0.25">
      <c r="A24" s="3" t="s">
        <v>70</v>
      </c>
      <c r="B24" s="2" t="s">
        <v>71</v>
      </c>
      <c r="C24" s="2" t="s">
        <v>33</v>
      </c>
      <c r="D24" s="2" t="s">
        <v>10</v>
      </c>
      <c r="E24" s="2" t="s">
        <v>40</v>
      </c>
      <c r="F24" s="2">
        <v>4</v>
      </c>
      <c r="G24" s="2">
        <v>5943</v>
      </c>
      <c r="H24" s="2" t="str">
        <f>_xlfn.XLOOKUP(E24, Product_Master!A:A, Product_Master!B:B)</f>
        <v>Table</v>
      </c>
      <c r="I24" s="2" t="str">
        <f>_xlfn.XLOOKUP(E24, Product_Master!A:A, Product_Master!C:C)</f>
        <v>Furniture</v>
      </c>
      <c r="J24" s="2">
        <f>_xlfn.XLOOKUP(E24, Product_Master!A:A, Product_Master!D:D)</f>
        <v>7000</v>
      </c>
      <c r="K24" s="2">
        <f t="shared" si="2"/>
        <v>23772</v>
      </c>
      <c r="L24" s="2">
        <f t="shared" si="3"/>
        <v>28000</v>
      </c>
      <c r="M24" s="2">
        <f t="shared" si="0"/>
        <v>-4228</v>
      </c>
      <c r="N24" s="2">
        <f>_xlfn.XLOOKUP(D24, Sales_Rep_Master!A:A, Sales_Rep_Master!B:B)</f>
        <v>920000</v>
      </c>
      <c r="O24" s="4">
        <f t="shared" si="1"/>
        <v>2.5839130434782608E-2</v>
      </c>
    </row>
    <row r="25" spans="1:15" ht="15.75" hidden="1" x14ac:dyDescent="0.25">
      <c r="A25" s="3" t="s">
        <v>72</v>
      </c>
      <c r="B25" s="2" t="s">
        <v>73</v>
      </c>
      <c r="C25" s="2" t="s">
        <v>26</v>
      </c>
      <c r="D25" s="2" t="s">
        <v>27</v>
      </c>
      <c r="E25" s="2" t="s">
        <v>15</v>
      </c>
      <c r="F25" s="2">
        <v>15</v>
      </c>
      <c r="G25" s="2">
        <v>5485</v>
      </c>
      <c r="H25" s="2" t="str">
        <f>_xlfn.XLOOKUP(E25, Product_Master!A:A, Product_Master!B:B)</f>
        <v>Chair</v>
      </c>
      <c r="I25" s="2" t="str">
        <f>_xlfn.XLOOKUP(E25, Product_Master!A:A, Product_Master!C:C)</f>
        <v>Furniture</v>
      </c>
      <c r="J25" s="2">
        <f>_xlfn.XLOOKUP(E25, Product_Master!A:A, Product_Master!D:D)</f>
        <v>2500</v>
      </c>
      <c r="K25" s="2">
        <f t="shared" si="2"/>
        <v>82275</v>
      </c>
      <c r="L25" s="2">
        <f t="shared" si="3"/>
        <v>37500</v>
      </c>
      <c r="M25" s="2">
        <f t="shared" si="0"/>
        <v>44775</v>
      </c>
      <c r="N25" s="2">
        <f>_xlfn.XLOOKUP(D25, Sales_Rep_Master!A:A, Sales_Rep_Master!B:B)</f>
        <v>800000</v>
      </c>
      <c r="O25" s="4">
        <f t="shared" si="1"/>
        <v>0.10284375</v>
      </c>
    </row>
    <row r="26" spans="1:15" ht="15.75" x14ac:dyDescent="0.25">
      <c r="A26" s="3" t="s">
        <v>74</v>
      </c>
      <c r="B26" s="2" t="s">
        <v>75</v>
      </c>
      <c r="C26" s="2" t="s">
        <v>26</v>
      </c>
      <c r="D26" s="2" t="s">
        <v>10</v>
      </c>
      <c r="E26" s="2" t="s">
        <v>11</v>
      </c>
      <c r="F26" s="2">
        <v>12</v>
      </c>
      <c r="G26" s="2">
        <v>4451</v>
      </c>
      <c r="H26" s="2" t="str">
        <f>_xlfn.XLOOKUP(E26, Product_Master!A:A, Product_Master!B:B)</f>
        <v>Mobile</v>
      </c>
      <c r="I26" s="2" t="str">
        <f>_xlfn.XLOOKUP(E26, Product_Master!A:A, Product_Master!C:C)</f>
        <v>Electronics</v>
      </c>
      <c r="J26" s="2">
        <f>_xlfn.XLOOKUP(E26, Product_Master!A:A, Product_Master!D:D)</f>
        <v>18000</v>
      </c>
      <c r="K26" s="2">
        <f t="shared" si="2"/>
        <v>53412</v>
      </c>
      <c r="L26" s="2">
        <f t="shared" si="3"/>
        <v>216000</v>
      </c>
      <c r="M26" s="2">
        <f t="shared" si="0"/>
        <v>-162588</v>
      </c>
      <c r="N26" s="2">
        <f>_xlfn.XLOOKUP(D26, Sales_Rep_Master!A:A, Sales_Rep_Master!B:B)</f>
        <v>920000</v>
      </c>
      <c r="O26" s="4">
        <f t="shared" si="1"/>
        <v>5.8056521739130437E-2</v>
      </c>
    </row>
    <row r="27" spans="1:15" ht="15.75" hidden="1" x14ac:dyDescent="0.25">
      <c r="A27" s="3" t="s">
        <v>76</v>
      </c>
      <c r="B27" s="2" t="s">
        <v>77</v>
      </c>
      <c r="C27" s="2" t="s">
        <v>33</v>
      </c>
      <c r="D27" s="2" t="s">
        <v>19</v>
      </c>
      <c r="E27" s="2" t="s">
        <v>34</v>
      </c>
      <c r="F27" s="2">
        <v>3</v>
      </c>
      <c r="G27" s="2">
        <v>7957</v>
      </c>
      <c r="H27" s="2" t="str">
        <f>_xlfn.XLOOKUP(E27, Product_Master!A:A, Product_Master!B:B)</f>
        <v>Jacket</v>
      </c>
      <c r="I27" s="2" t="str">
        <f>_xlfn.XLOOKUP(E27, Product_Master!A:A, Product_Master!C:C)</f>
        <v>Clothing</v>
      </c>
      <c r="J27" s="2">
        <f>_xlfn.XLOOKUP(E27, Product_Master!A:A, Product_Master!D:D)</f>
        <v>1500</v>
      </c>
      <c r="K27" s="2">
        <f t="shared" si="2"/>
        <v>23871</v>
      </c>
      <c r="L27" s="2">
        <f t="shared" si="3"/>
        <v>4500</v>
      </c>
      <c r="M27" s="2">
        <f t="shared" si="0"/>
        <v>19371</v>
      </c>
      <c r="N27" s="2">
        <f>_xlfn.XLOOKUP(D27, Sales_Rep_Master!A:A, Sales_Rep_Master!B:B)</f>
        <v>950000</v>
      </c>
      <c r="O27" s="4">
        <f t="shared" si="1"/>
        <v>2.5127368421052631E-2</v>
      </c>
    </row>
    <row r="28" spans="1:15" ht="15.75" hidden="1" x14ac:dyDescent="0.25">
      <c r="A28" s="3" t="s">
        <v>78</v>
      </c>
      <c r="B28" s="2" t="s">
        <v>79</v>
      </c>
      <c r="C28" s="2" t="s">
        <v>9</v>
      </c>
      <c r="D28" s="2" t="s">
        <v>14</v>
      </c>
      <c r="E28" s="2" t="s">
        <v>23</v>
      </c>
      <c r="F28" s="2">
        <v>10</v>
      </c>
      <c r="G28" s="2">
        <v>2076</v>
      </c>
      <c r="H28" s="2" t="str">
        <f>_xlfn.XLOOKUP(E28, Product_Master!A:A, Product_Master!B:B)</f>
        <v>Sofa</v>
      </c>
      <c r="I28" s="2" t="str">
        <f>_xlfn.XLOOKUP(E28, Product_Master!A:A, Product_Master!C:C)</f>
        <v>Furniture</v>
      </c>
      <c r="J28" s="2">
        <f>_xlfn.XLOOKUP(E28, Product_Master!A:A, Product_Master!D:D)</f>
        <v>15000</v>
      </c>
      <c r="K28" s="2">
        <f t="shared" si="2"/>
        <v>20760</v>
      </c>
      <c r="L28" s="2">
        <f t="shared" si="3"/>
        <v>150000</v>
      </c>
      <c r="M28" s="2">
        <f t="shared" si="0"/>
        <v>-129240</v>
      </c>
      <c r="N28" s="2">
        <f>_xlfn.XLOOKUP(D28, Sales_Rep_Master!A:A, Sales_Rep_Master!B:B)</f>
        <v>880000</v>
      </c>
      <c r="O28" s="4">
        <f t="shared" si="1"/>
        <v>2.3590909090909089E-2</v>
      </c>
    </row>
    <row r="29" spans="1:15" ht="15.75" hidden="1" x14ac:dyDescent="0.25">
      <c r="A29" s="3" t="s">
        <v>80</v>
      </c>
      <c r="B29" s="2" t="s">
        <v>81</v>
      </c>
      <c r="C29" s="2" t="s">
        <v>33</v>
      </c>
      <c r="D29" s="2" t="s">
        <v>14</v>
      </c>
      <c r="E29" s="2" t="s">
        <v>23</v>
      </c>
      <c r="F29" s="2">
        <v>13</v>
      </c>
      <c r="G29" s="2">
        <v>1228</v>
      </c>
      <c r="H29" s="2" t="str">
        <f>_xlfn.XLOOKUP(E29, Product_Master!A:A, Product_Master!B:B)</f>
        <v>Sofa</v>
      </c>
      <c r="I29" s="2" t="str">
        <f>_xlfn.XLOOKUP(E29, Product_Master!A:A, Product_Master!C:C)</f>
        <v>Furniture</v>
      </c>
      <c r="J29" s="2">
        <f>_xlfn.XLOOKUP(E29, Product_Master!A:A, Product_Master!D:D)</f>
        <v>15000</v>
      </c>
      <c r="K29" s="2">
        <f t="shared" si="2"/>
        <v>15964</v>
      </c>
      <c r="L29" s="2">
        <f t="shared" si="3"/>
        <v>195000</v>
      </c>
      <c r="M29" s="2">
        <f t="shared" si="0"/>
        <v>-179036</v>
      </c>
      <c r="N29" s="2">
        <f>_xlfn.XLOOKUP(D29, Sales_Rep_Master!A:A, Sales_Rep_Master!B:B)</f>
        <v>880000</v>
      </c>
      <c r="O29" s="4">
        <f t="shared" si="1"/>
        <v>1.8140909090909089E-2</v>
      </c>
    </row>
    <row r="30" spans="1:15" ht="15.75" hidden="1" x14ac:dyDescent="0.25">
      <c r="A30" s="3" t="s">
        <v>82</v>
      </c>
      <c r="B30" s="2" t="s">
        <v>83</v>
      </c>
      <c r="C30" s="2" t="s">
        <v>33</v>
      </c>
      <c r="D30" s="2" t="s">
        <v>37</v>
      </c>
      <c r="E30" s="2" t="s">
        <v>61</v>
      </c>
      <c r="F30" s="2">
        <v>3</v>
      </c>
      <c r="G30" s="2">
        <v>2623</v>
      </c>
      <c r="H30" s="2" t="str">
        <f>_xlfn.XLOOKUP(E30, Product_Master!A:A, Product_Master!B:B)</f>
        <v>Shoes</v>
      </c>
      <c r="I30" s="2" t="str">
        <f>_xlfn.XLOOKUP(E30, Product_Master!A:A, Product_Master!C:C)</f>
        <v>Clothing</v>
      </c>
      <c r="J30" s="2">
        <f>_xlfn.XLOOKUP(E30, Product_Master!A:A, Product_Master!D:D)</f>
        <v>2000</v>
      </c>
      <c r="K30" s="2">
        <f t="shared" si="2"/>
        <v>7869</v>
      </c>
      <c r="L30" s="2">
        <f t="shared" si="3"/>
        <v>6000</v>
      </c>
      <c r="M30" s="2">
        <f t="shared" si="0"/>
        <v>1869</v>
      </c>
      <c r="N30" s="2">
        <f>_xlfn.XLOOKUP(D30, Sales_Rep_Master!A:A, Sales_Rep_Master!B:B)</f>
        <v>850000</v>
      </c>
      <c r="O30" s="4">
        <f t="shared" si="1"/>
        <v>9.2576470588235302E-3</v>
      </c>
    </row>
    <row r="31" spans="1:15" ht="15.75" hidden="1" x14ac:dyDescent="0.25">
      <c r="A31" s="3" t="s">
        <v>84</v>
      </c>
      <c r="B31" s="2" t="s">
        <v>85</v>
      </c>
      <c r="C31" s="2" t="s">
        <v>33</v>
      </c>
      <c r="D31" s="2" t="s">
        <v>14</v>
      </c>
      <c r="E31" s="2" t="s">
        <v>23</v>
      </c>
      <c r="F31" s="2">
        <v>10</v>
      </c>
      <c r="G31" s="2">
        <v>1090</v>
      </c>
      <c r="H31" s="2" t="str">
        <f>_xlfn.XLOOKUP(E31, Product_Master!A:A, Product_Master!B:B)</f>
        <v>Sofa</v>
      </c>
      <c r="I31" s="2" t="str">
        <f>_xlfn.XLOOKUP(E31, Product_Master!A:A, Product_Master!C:C)</f>
        <v>Furniture</v>
      </c>
      <c r="J31" s="2">
        <f>_xlfn.XLOOKUP(E31, Product_Master!A:A, Product_Master!D:D)</f>
        <v>15000</v>
      </c>
      <c r="K31" s="2">
        <f t="shared" si="2"/>
        <v>10900</v>
      </c>
      <c r="L31" s="2">
        <f t="shared" si="3"/>
        <v>150000</v>
      </c>
      <c r="M31" s="2">
        <f t="shared" si="0"/>
        <v>-139100</v>
      </c>
      <c r="N31" s="2">
        <f>_xlfn.XLOOKUP(D31, Sales_Rep_Master!A:A, Sales_Rep_Master!B:B)</f>
        <v>880000</v>
      </c>
      <c r="O31" s="4">
        <f t="shared" si="1"/>
        <v>1.2386363636363636E-2</v>
      </c>
    </row>
    <row r="32" spans="1:15" ht="15.75" x14ac:dyDescent="0.25">
      <c r="A32" s="3" t="s">
        <v>86</v>
      </c>
      <c r="B32" s="2" t="s">
        <v>87</v>
      </c>
      <c r="C32" s="2" t="s">
        <v>9</v>
      </c>
      <c r="D32" s="2" t="s">
        <v>19</v>
      </c>
      <c r="E32" s="2" t="s">
        <v>11</v>
      </c>
      <c r="F32" s="2">
        <v>15</v>
      </c>
      <c r="G32" s="2">
        <v>5568</v>
      </c>
      <c r="H32" s="2" t="str">
        <f>_xlfn.XLOOKUP(E32, Product_Master!A:A, Product_Master!B:B)</f>
        <v>Mobile</v>
      </c>
      <c r="I32" s="2" t="str">
        <f>_xlfn.XLOOKUP(E32, Product_Master!A:A, Product_Master!C:C)</f>
        <v>Electronics</v>
      </c>
      <c r="J32" s="2">
        <f>_xlfn.XLOOKUP(E32, Product_Master!A:A, Product_Master!D:D)</f>
        <v>18000</v>
      </c>
      <c r="K32" s="2">
        <f t="shared" si="2"/>
        <v>83520</v>
      </c>
      <c r="L32" s="2">
        <f t="shared" si="3"/>
        <v>270000</v>
      </c>
      <c r="M32" s="2">
        <f t="shared" si="0"/>
        <v>-186480</v>
      </c>
      <c r="N32" s="2">
        <f>_xlfn.XLOOKUP(D32, Sales_Rep_Master!A:A, Sales_Rep_Master!B:B)</f>
        <v>950000</v>
      </c>
      <c r="O32" s="4">
        <f t="shared" si="1"/>
        <v>8.7915789473684211E-2</v>
      </c>
    </row>
    <row r="33" spans="1:15" ht="15.75" x14ac:dyDescent="0.25">
      <c r="A33" s="3" t="s">
        <v>88</v>
      </c>
      <c r="B33" s="2" t="s">
        <v>89</v>
      </c>
      <c r="C33" s="2" t="s">
        <v>26</v>
      </c>
      <c r="D33" s="2" t="s">
        <v>51</v>
      </c>
      <c r="E33" s="2" t="s">
        <v>28</v>
      </c>
      <c r="F33" s="2">
        <v>12</v>
      </c>
      <c r="G33" s="2">
        <v>7753</v>
      </c>
      <c r="H33" s="2" t="str">
        <f>_xlfn.XLOOKUP(E33, Product_Master!A:A, Product_Master!B:B)</f>
        <v>Laptop</v>
      </c>
      <c r="I33" s="2" t="str">
        <f>_xlfn.XLOOKUP(E33, Product_Master!A:A, Product_Master!C:C)</f>
        <v>Electronics</v>
      </c>
      <c r="J33" s="2">
        <f>_xlfn.XLOOKUP(E33, Product_Master!A:A, Product_Master!D:D)</f>
        <v>35000</v>
      </c>
      <c r="K33" s="2">
        <f t="shared" si="2"/>
        <v>93036</v>
      </c>
      <c r="L33" s="2">
        <f t="shared" si="3"/>
        <v>420000</v>
      </c>
      <c r="M33" s="2">
        <f t="shared" si="0"/>
        <v>-326964</v>
      </c>
      <c r="N33" s="2">
        <f>_xlfn.XLOOKUP(D33, Sales_Rep_Master!A:A, Sales_Rep_Master!B:B)</f>
        <v>900000</v>
      </c>
      <c r="O33" s="4">
        <f t="shared" si="1"/>
        <v>0.10337333333333333</v>
      </c>
    </row>
    <row r="34" spans="1:15" ht="15.75" x14ac:dyDescent="0.25">
      <c r="A34" s="3" t="s">
        <v>90</v>
      </c>
      <c r="B34" s="2" t="s">
        <v>91</v>
      </c>
      <c r="C34" s="2" t="s">
        <v>33</v>
      </c>
      <c r="D34" s="2" t="s">
        <v>27</v>
      </c>
      <c r="E34" s="2" t="s">
        <v>11</v>
      </c>
      <c r="F34" s="2">
        <v>8</v>
      </c>
      <c r="G34" s="2">
        <v>998</v>
      </c>
      <c r="H34" s="2" t="str">
        <f>_xlfn.XLOOKUP(E34, Product_Master!A:A, Product_Master!B:B)</f>
        <v>Mobile</v>
      </c>
      <c r="I34" s="2" t="str">
        <f>_xlfn.XLOOKUP(E34, Product_Master!A:A, Product_Master!C:C)</f>
        <v>Electronics</v>
      </c>
      <c r="J34" s="2">
        <f>_xlfn.XLOOKUP(E34, Product_Master!A:A, Product_Master!D:D)</f>
        <v>18000</v>
      </c>
      <c r="K34" s="2">
        <f t="shared" si="2"/>
        <v>7984</v>
      </c>
      <c r="L34" s="2">
        <f t="shared" si="3"/>
        <v>144000</v>
      </c>
      <c r="M34" s="2">
        <f t="shared" si="0"/>
        <v>-136016</v>
      </c>
      <c r="N34" s="2">
        <f>_xlfn.XLOOKUP(D34, Sales_Rep_Master!A:A, Sales_Rep_Master!B:B)</f>
        <v>800000</v>
      </c>
      <c r="O34" s="4">
        <f t="shared" si="1"/>
        <v>9.9799999999999993E-3</v>
      </c>
    </row>
    <row r="35" spans="1:15" ht="15.75" hidden="1" x14ac:dyDescent="0.25">
      <c r="A35" s="3" t="s">
        <v>92</v>
      </c>
      <c r="B35" s="2" t="s">
        <v>93</v>
      </c>
      <c r="C35" s="2" t="s">
        <v>33</v>
      </c>
      <c r="D35" s="2" t="s">
        <v>10</v>
      </c>
      <c r="E35" s="2" t="s">
        <v>40</v>
      </c>
      <c r="F35" s="2">
        <v>6</v>
      </c>
      <c r="G35" s="2">
        <v>6946</v>
      </c>
      <c r="H35" s="2" t="str">
        <f>_xlfn.XLOOKUP(E35, Product_Master!A:A, Product_Master!B:B)</f>
        <v>Table</v>
      </c>
      <c r="I35" s="2" t="str">
        <f>_xlfn.XLOOKUP(E35, Product_Master!A:A, Product_Master!C:C)</f>
        <v>Furniture</v>
      </c>
      <c r="J35" s="2">
        <f>_xlfn.XLOOKUP(E35, Product_Master!A:A, Product_Master!D:D)</f>
        <v>7000</v>
      </c>
      <c r="K35" s="2">
        <f t="shared" si="2"/>
        <v>41676</v>
      </c>
      <c r="L35" s="2">
        <f t="shared" si="3"/>
        <v>42000</v>
      </c>
      <c r="M35" s="2">
        <f t="shared" si="0"/>
        <v>-324</v>
      </c>
      <c r="N35" s="2">
        <f>_xlfn.XLOOKUP(D35, Sales_Rep_Master!A:A, Sales_Rep_Master!B:B)</f>
        <v>920000</v>
      </c>
      <c r="O35" s="4">
        <f t="shared" si="1"/>
        <v>4.53E-2</v>
      </c>
    </row>
    <row r="36" spans="1:15" ht="15.75" hidden="1" x14ac:dyDescent="0.25">
      <c r="A36" s="3" t="s">
        <v>94</v>
      </c>
      <c r="B36" s="2" t="s">
        <v>46</v>
      </c>
      <c r="C36" s="2" t="s">
        <v>33</v>
      </c>
      <c r="D36" s="2" t="s">
        <v>51</v>
      </c>
      <c r="E36" s="2" t="s">
        <v>15</v>
      </c>
      <c r="F36" s="2">
        <v>9</v>
      </c>
      <c r="G36" s="2">
        <v>3551</v>
      </c>
      <c r="H36" s="2" t="str">
        <f>_xlfn.XLOOKUP(E36, Product_Master!A:A, Product_Master!B:B)</f>
        <v>Chair</v>
      </c>
      <c r="I36" s="2" t="str">
        <f>_xlfn.XLOOKUP(E36, Product_Master!A:A, Product_Master!C:C)</f>
        <v>Furniture</v>
      </c>
      <c r="J36" s="2">
        <f>_xlfn.XLOOKUP(E36, Product_Master!A:A, Product_Master!D:D)</f>
        <v>2500</v>
      </c>
      <c r="K36" s="2">
        <f t="shared" si="2"/>
        <v>31959</v>
      </c>
      <c r="L36" s="2">
        <f t="shared" si="3"/>
        <v>22500</v>
      </c>
      <c r="M36" s="2">
        <f t="shared" si="0"/>
        <v>9459</v>
      </c>
      <c r="N36" s="2">
        <f>_xlfn.XLOOKUP(D36, Sales_Rep_Master!A:A, Sales_Rep_Master!B:B)</f>
        <v>900000</v>
      </c>
      <c r="O36" s="4">
        <f t="shared" si="1"/>
        <v>3.551E-2</v>
      </c>
    </row>
    <row r="37" spans="1:15" ht="15.75" x14ac:dyDescent="0.25">
      <c r="A37" s="3" t="s">
        <v>95</v>
      </c>
      <c r="B37" s="2" t="s">
        <v>96</v>
      </c>
      <c r="C37" s="2" t="s">
        <v>33</v>
      </c>
      <c r="D37" s="2" t="s">
        <v>10</v>
      </c>
      <c r="E37" s="2" t="s">
        <v>11</v>
      </c>
      <c r="F37" s="2">
        <v>14</v>
      </c>
      <c r="G37" s="2">
        <v>2546</v>
      </c>
      <c r="H37" s="2" t="str">
        <f>_xlfn.XLOOKUP(E37, Product_Master!A:A, Product_Master!B:B)</f>
        <v>Mobile</v>
      </c>
      <c r="I37" s="2" t="str">
        <f>_xlfn.XLOOKUP(E37, Product_Master!A:A, Product_Master!C:C)</f>
        <v>Electronics</v>
      </c>
      <c r="J37" s="2">
        <f>_xlfn.XLOOKUP(E37, Product_Master!A:A, Product_Master!D:D)</f>
        <v>18000</v>
      </c>
      <c r="K37" s="2">
        <f t="shared" si="2"/>
        <v>35644</v>
      </c>
      <c r="L37" s="2">
        <f t="shared" si="3"/>
        <v>252000</v>
      </c>
      <c r="M37" s="2">
        <f t="shared" si="0"/>
        <v>-216356</v>
      </c>
      <c r="N37" s="2">
        <f>_xlfn.XLOOKUP(D37, Sales_Rep_Master!A:A, Sales_Rep_Master!B:B)</f>
        <v>920000</v>
      </c>
      <c r="O37" s="4">
        <f t="shared" si="1"/>
        <v>3.8743478260869567E-2</v>
      </c>
    </row>
    <row r="38" spans="1:15" ht="15.75" x14ac:dyDescent="0.25">
      <c r="A38" s="3" t="s">
        <v>97</v>
      </c>
      <c r="B38" s="2" t="s">
        <v>98</v>
      </c>
      <c r="C38" s="2" t="s">
        <v>18</v>
      </c>
      <c r="D38" s="2" t="s">
        <v>14</v>
      </c>
      <c r="E38" s="2" t="s">
        <v>11</v>
      </c>
      <c r="F38" s="2">
        <v>1</v>
      </c>
      <c r="G38" s="2">
        <v>4966</v>
      </c>
      <c r="H38" s="2" t="str">
        <f>_xlfn.XLOOKUP(E38, Product_Master!A:A, Product_Master!B:B)</f>
        <v>Mobile</v>
      </c>
      <c r="I38" s="2" t="str">
        <f>_xlfn.XLOOKUP(E38, Product_Master!A:A, Product_Master!C:C)</f>
        <v>Electronics</v>
      </c>
      <c r="J38" s="2">
        <f>_xlfn.XLOOKUP(E38, Product_Master!A:A, Product_Master!D:D)</f>
        <v>18000</v>
      </c>
      <c r="K38" s="2">
        <f t="shared" si="2"/>
        <v>4966</v>
      </c>
      <c r="L38" s="2">
        <f t="shared" si="3"/>
        <v>18000</v>
      </c>
      <c r="M38" s="2">
        <f t="shared" si="0"/>
        <v>-13034</v>
      </c>
      <c r="N38" s="2">
        <f>_xlfn.XLOOKUP(D38, Sales_Rep_Master!A:A, Sales_Rep_Master!B:B)</f>
        <v>880000</v>
      </c>
      <c r="O38" s="4">
        <f t="shared" si="1"/>
        <v>5.643181818181818E-3</v>
      </c>
    </row>
    <row r="39" spans="1:15" ht="15.75" hidden="1" x14ac:dyDescent="0.25">
      <c r="A39" s="3" t="s">
        <v>99</v>
      </c>
      <c r="B39" s="2" t="s">
        <v>100</v>
      </c>
      <c r="C39" s="2" t="s">
        <v>9</v>
      </c>
      <c r="D39" s="2" t="s">
        <v>14</v>
      </c>
      <c r="E39" s="2" t="s">
        <v>40</v>
      </c>
      <c r="F39" s="2">
        <v>12</v>
      </c>
      <c r="G39" s="2">
        <v>6761</v>
      </c>
      <c r="H39" s="2" t="str">
        <f>_xlfn.XLOOKUP(E39, Product_Master!A:A, Product_Master!B:B)</f>
        <v>Table</v>
      </c>
      <c r="I39" s="2" t="str">
        <f>_xlfn.XLOOKUP(E39, Product_Master!A:A, Product_Master!C:C)</f>
        <v>Furniture</v>
      </c>
      <c r="J39" s="2">
        <f>_xlfn.XLOOKUP(E39, Product_Master!A:A, Product_Master!D:D)</f>
        <v>7000</v>
      </c>
      <c r="K39" s="2">
        <f t="shared" si="2"/>
        <v>81132</v>
      </c>
      <c r="L39" s="2">
        <f t="shared" si="3"/>
        <v>84000</v>
      </c>
      <c r="M39" s="2">
        <f t="shared" si="0"/>
        <v>-2868</v>
      </c>
      <c r="N39" s="2">
        <f>_xlfn.XLOOKUP(D39, Sales_Rep_Master!A:A, Sales_Rep_Master!B:B)</f>
        <v>880000</v>
      </c>
      <c r="O39" s="4">
        <f t="shared" si="1"/>
        <v>9.2195454545454539E-2</v>
      </c>
    </row>
    <row r="40" spans="1:15" ht="15.75" hidden="1" x14ac:dyDescent="0.25">
      <c r="A40" s="3" t="s">
        <v>101</v>
      </c>
      <c r="B40" s="2" t="s">
        <v>102</v>
      </c>
      <c r="C40" s="2" t="s">
        <v>26</v>
      </c>
      <c r="D40" s="2" t="s">
        <v>10</v>
      </c>
      <c r="E40" s="2" t="s">
        <v>23</v>
      </c>
      <c r="F40" s="2">
        <v>15</v>
      </c>
      <c r="G40" s="2">
        <v>2972</v>
      </c>
      <c r="H40" s="2" t="str">
        <f>_xlfn.XLOOKUP(E40, Product_Master!A:A, Product_Master!B:B)</f>
        <v>Sofa</v>
      </c>
      <c r="I40" s="2" t="str">
        <f>_xlfn.XLOOKUP(E40, Product_Master!A:A, Product_Master!C:C)</f>
        <v>Furniture</v>
      </c>
      <c r="J40" s="2">
        <f>_xlfn.XLOOKUP(E40, Product_Master!A:A, Product_Master!D:D)</f>
        <v>15000</v>
      </c>
      <c r="K40" s="2">
        <f t="shared" si="2"/>
        <v>44580</v>
      </c>
      <c r="L40" s="2">
        <f t="shared" si="3"/>
        <v>225000</v>
      </c>
      <c r="M40" s="2">
        <f t="shared" si="0"/>
        <v>-180420</v>
      </c>
      <c r="N40" s="2">
        <f>_xlfn.XLOOKUP(D40, Sales_Rep_Master!A:A, Sales_Rep_Master!B:B)</f>
        <v>920000</v>
      </c>
      <c r="O40" s="4">
        <f t="shared" si="1"/>
        <v>4.8456521739130433E-2</v>
      </c>
    </row>
    <row r="41" spans="1:15" ht="15.75" x14ac:dyDescent="0.25">
      <c r="A41" s="3" t="s">
        <v>103</v>
      </c>
      <c r="B41" s="2" t="s">
        <v>104</v>
      </c>
      <c r="C41" s="2" t="s">
        <v>9</v>
      </c>
      <c r="D41" s="2" t="s">
        <v>27</v>
      </c>
      <c r="E41" s="2" t="s">
        <v>11</v>
      </c>
      <c r="F41" s="2">
        <v>15</v>
      </c>
      <c r="G41" s="2">
        <v>5174</v>
      </c>
      <c r="H41" s="2" t="str">
        <f>_xlfn.XLOOKUP(E41, Product_Master!A:A, Product_Master!B:B)</f>
        <v>Mobile</v>
      </c>
      <c r="I41" s="2" t="str">
        <f>_xlfn.XLOOKUP(E41, Product_Master!A:A, Product_Master!C:C)</f>
        <v>Electronics</v>
      </c>
      <c r="J41" s="2">
        <f>_xlfn.XLOOKUP(E41, Product_Master!A:A, Product_Master!D:D)</f>
        <v>18000</v>
      </c>
      <c r="K41" s="2">
        <f t="shared" si="2"/>
        <v>77610</v>
      </c>
      <c r="L41" s="2">
        <f t="shared" si="3"/>
        <v>270000</v>
      </c>
      <c r="M41" s="2">
        <f t="shared" si="0"/>
        <v>-192390</v>
      </c>
      <c r="N41" s="2">
        <f>_xlfn.XLOOKUP(D41, Sales_Rep_Master!A:A, Sales_Rep_Master!B:B)</f>
        <v>800000</v>
      </c>
      <c r="O41" s="4">
        <f t="shared" si="1"/>
        <v>9.7012500000000002E-2</v>
      </c>
    </row>
    <row r="42" spans="1:15" ht="15.75" x14ac:dyDescent="0.25">
      <c r="A42" s="3" t="s">
        <v>105</v>
      </c>
      <c r="B42" s="2" t="s">
        <v>106</v>
      </c>
      <c r="C42" s="2" t="s">
        <v>9</v>
      </c>
      <c r="D42" s="2" t="s">
        <v>10</v>
      </c>
      <c r="E42" s="2" t="s">
        <v>20</v>
      </c>
      <c r="F42" s="2">
        <v>8</v>
      </c>
      <c r="G42" s="2">
        <v>6311</v>
      </c>
      <c r="H42" s="2" t="str">
        <f>_xlfn.XLOOKUP(E42, Product_Master!A:A, Product_Master!B:B)</f>
        <v>Headphones</v>
      </c>
      <c r="I42" s="2" t="str">
        <f>_xlfn.XLOOKUP(E42, Product_Master!A:A, Product_Master!C:C)</f>
        <v>Electronics</v>
      </c>
      <c r="J42" s="2">
        <f>_xlfn.XLOOKUP(E42, Product_Master!A:A, Product_Master!D:D)</f>
        <v>2000</v>
      </c>
      <c r="K42" s="2">
        <f t="shared" si="2"/>
        <v>50488</v>
      </c>
      <c r="L42" s="2">
        <f t="shared" si="3"/>
        <v>16000</v>
      </c>
      <c r="M42" s="2">
        <f t="shared" si="0"/>
        <v>34488</v>
      </c>
      <c r="N42" s="2">
        <f>_xlfn.XLOOKUP(D42, Sales_Rep_Master!A:A, Sales_Rep_Master!B:B)</f>
        <v>920000</v>
      </c>
      <c r="O42" s="4">
        <f t="shared" si="1"/>
        <v>5.4878260869565217E-2</v>
      </c>
    </row>
    <row r="43" spans="1:15" ht="15.75" hidden="1" x14ac:dyDescent="0.25">
      <c r="A43" s="3" t="s">
        <v>107</v>
      </c>
      <c r="B43" s="2" t="s">
        <v>108</v>
      </c>
      <c r="C43" s="2" t="s">
        <v>9</v>
      </c>
      <c r="D43" s="2" t="s">
        <v>37</v>
      </c>
      <c r="E43" s="2" t="s">
        <v>61</v>
      </c>
      <c r="F43" s="2">
        <v>1</v>
      </c>
      <c r="G43" s="2">
        <v>1299</v>
      </c>
      <c r="H43" s="2" t="str">
        <f>_xlfn.XLOOKUP(E43, Product_Master!A:A, Product_Master!B:B)</f>
        <v>Shoes</v>
      </c>
      <c r="I43" s="2" t="str">
        <f>_xlfn.XLOOKUP(E43, Product_Master!A:A, Product_Master!C:C)</f>
        <v>Clothing</v>
      </c>
      <c r="J43" s="2">
        <f>_xlfn.XLOOKUP(E43, Product_Master!A:A, Product_Master!D:D)</f>
        <v>2000</v>
      </c>
      <c r="K43" s="2">
        <f t="shared" si="2"/>
        <v>1299</v>
      </c>
      <c r="L43" s="2">
        <f t="shared" si="3"/>
        <v>2000</v>
      </c>
      <c r="M43" s="2">
        <f t="shared" si="0"/>
        <v>-701</v>
      </c>
      <c r="N43" s="2">
        <f>_xlfn.XLOOKUP(D43, Sales_Rep_Master!A:A, Sales_Rep_Master!B:B)</f>
        <v>850000</v>
      </c>
      <c r="O43" s="4">
        <f t="shared" si="1"/>
        <v>1.5282352941176471E-3</v>
      </c>
    </row>
    <row r="44" spans="1:15" ht="15.75" hidden="1" x14ac:dyDescent="0.25">
      <c r="A44" s="3" t="s">
        <v>109</v>
      </c>
      <c r="B44" s="2" t="s">
        <v>110</v>
      </c>
      <c r="C44" s="2" t="s">
        <v>18</v>
      </c>
      <c r="D44" s="2" t="s">
        <v>54</v>
      </c>
      <c r="E44" s="2" t="s">
        <v>15</v>
      </c>
      <c r="F44" s="2">
        <v>6</v>
      </c>
      <c r="G44" s="2">
        <v>7608</v>
      </c>
      <c r="H44" s="2" t="str">
        <f>_xlfn.XLOOKUP(E44, Product_Master!A:A, Product_Master!B:B)</f>
        <v>Chair</v>
      </c>
      <c r="I44" s="2" t="str">
        <f>_xlfn.XLOOKUP(E44, Product_Master!A:A, Product_Master!C:C)</f>
        <v>Furniture</v>
      </c>
      <c r="J44" s="2">
        <f>_xlfn.XLOOKUP(E44, Product_Master!A:A, Product_Master!D:D)</f>
        <v>2500</v>
      </c>
      <c r="K44" s="2">
        <f t="shared" si="2"/>
        <v>45648</v>
      </c>
      <c r="L44" s="2">
        <f t="shared" si="3"/>
        <v>15000</v>
      </c>
      <c r="M44" s="2">
        <f t="shared" si="0"/>
        <v>30648</v>
      </c>
      <c r="N44" s="2">
        <f>_xlfn.XLOOKUP(D44, Sales_Rep_Master!A:A, Sales_Rep_Master!B:B)</f>
        <v>890000</v>
      </c>
      <c r="O44" s="4">
        <f t="shared" si="1"/>
        <v>5.1289887640449436E-2</v>
      </c>
    </row>
    <row r="45" spans="1:15" ht="15.75" hidden="1" x14ac:dyDescent="0.25">
      <c r="A45" s="3" t="s">
        <v>111</v>
      </c>
      <c r="B45" s="2" t="s">
        <v>112</v>
      </c>
      <c r="C45" s="2" t="s">
        <v>18</v>
      </c>
      <c r="D45" s="2" t="s">
        <v>51</v>
      </c>
      <c r="E45" s="2" t="s">
        <v>15</v>
      </c>
      <c r="F45" s="2">
        <v>14</v>
      </c>
      <c r="G45" s="2">
        <v>1476</v>
      </c>
      <c r="H45" s="2" t="str">
        <f>_xlfn.XLOOKUP(E45, Product_Master!A:A, Product_Master!B:B)</f>
        <v>Chair</v>
      </c>
      <c r="I45" s="2" t="str">
        <f>_xlfn.XLOOKUP(E45, Product_Master!A:A, Product_Master!C:C)</f>
        <v>Furniture</v>
      </c>
      <c r="J45" s="2">
        <f>_xlfn.XLOOKUP(E45, Product_Master!A:A, Product_Master!D:D)</f>
        <v>2500</v>
      </c>
      <c r="K45" s="2">
        <f t="shared" si="2"/>
        <v>20664</v>
      </c>
      <c r="L45" s="2">
        <f t="shared" si="3"/>
        <v>35000</v>
      </c>
      <c r="M45" s="2">
        <f t="shared" si="0"/>
        <v>-14336</v>
      </c>
      <c r="N45" s="2">
        <f>_xlfn.XLOOKUP(D45, Sales_Rep_Master!A:A, Sales_Rep_Master!B:B)</f>
        <v>900000</v>
      </c>
      <c r="O45" s="4">
        <f t="shared" si="1"/>
        <v>2.2960000000000001E-2</v>
      </c>
    </row>
    <row r="46" spans="1:15" ht="15.75" x14ac:dyDescent="0.25">
      <c r="A46" s="3" t="s">
        <v>113</v>
      </c>
      <c r="B46" s="2" t="s">
        <v>25</v>
      </c>
      <c r="C46" s="2" t="s">
        <v>26</v>
      </c>
      <c r="D46" s="2" t="s">
        <v>37</v>
      </c>
      <c r="E46" s="2" t="s">
        <v>20</v>
      </c>
      <c r="F46" s="2">
        <v>2</v>
      </c>
      <c r="G46" s="2">
        <v>3226</v>
      </c>
      <c r="H46" s="2" t="str">
        <f>_xlfn.XLOOKUP(E46, Product_Master!A:A, Product_Master!B:B)</f>
        <v>Headphones</v>
      </c>
      <c r="I46" s="2" t="str">
        <f>_xlfn.XLOOKUP(E46, Product_Master!A:A, Product_Master!C:C)</f>
        <v>Electronics</v>
      </c>
      <c r="J46" s="2">
        <f>_xlfn.XLOOKUP(E46, Product_Master!A:A, Product_Master!D:D)</f>
        <v>2000</v>
      </c>
      <c r="K46" s="2">
        <f t="shared" si="2"/>
        <v>6452</v>
      </c>
      <c r="L46" s="2">
        <f t="shared" si="3"/>
        <v>4000</v>
      </c>
      <c r="M46" s="2">
        <f t="shared" si="0"/>
        <v>2452</v>
      </c>
      <c r="N46" s="2">
        <f>_xlfn.XLOOKUP(D46, Sales_Rep_Master!A:A, Sales_Rep_Master!B:B)</f>
        <v>850000</v>
      </c>
      <c r="O46" s="4">
        <f t="shared" si="1"/>
        <v>7.5905882352941181E-3</v>
      </c>
    </row>
    <row r="47" spans="1:15" ht="15.75" hidden="1" x14ac:dyDescent="0.25">
      <c r="A47" s="3" t="s">
        <v>114</v>
      </c>
      <c r="B47" s="2" t="s">
        <v>115</v>
      </c>
      <c r="C47" s="2" t="s">
        <v>9</v>
      </c>
      <c r="D47" s="2" t="s">
        <v>10</v>
      </c>
      <c r="E47" s="2" t="s">
        <v>34</v>
      </c>
      <c r="F47" s="2">
        <v>7</v>
      </c>
      <c r="G47" s="2">
        <v>2439</v>
      </c>
      <c r="H47" s="2" t="str">
        <f>_xlfn.XLOOKUP(E47, Product_Master!A:A, Product_Master!B:B)</f>
        <v>Jacket</v>
      </c>
      <c r="I47" s="2" t="str">
        <f>_xlfn.XLOOKUP(E47, Product_Master!A:A, Product_Master!C:C)</f>
        <v>Clothing</v>
      </c>
      <c r="J47" s="2">
        <f>_xlfn.XLOOKUP(E47, Product_Master!A:A, Product_Master!D:D)</f>
        <v>1500</v>
      </c>
      <c r="K47" s="2">
        <f t="shared" si="2"/>
        <v>17073</v>
      </c>
      <c r="L47" s="2">
        <f t="shared" si="3"/>
        <v>10500</v>
      </c>
      <c r="M47" s="2">
        <f t="shared" si="0"/>
        <v>6573</v>
      </c>
      <c r="N47" s="2">
        <f>_xlfn.XLOOKUP(D47, Sales_Rep_Master!A:A, Sales_Rep_Master!B:B)</f>
        <v>920000</v>
      </c>
      <c r="O47" s="4">
        <f t="shared" si="1"/>
        <v>1.8557608695652174E-2</v>
      </c>
    </row>
    <row r="48" spans="1:15" ht="15.75" x14ac:dyDescent="0.25">
      <c r="A48" s="3" t="s">
        <v>116</v>
      </c>
      <c r="B48" s="2" t="s">
        <v>117</v>
      </c>
      <c r="C48" s="2" t="s">
        <v>33</v>
      </c>
      <c r="D48" s="2" t="s">
        <v>14</v>
      </c>
      <c r="E48" s="2" t="s">
        <v>20</v>
      </c>
      <c r="F48" s="2">
        <v>13</v>
      </c>
      <c r="G48" s="2">
        <v>7074</v>
      </c>
      <c r="H48" s="2" t="str">
        <f>_xlfn.XLOOKUP(E48, Product_Master!A:A, Product_Master!B:B)</f>
        <v>Headphones</v>
      </c>
      <c r="I48" s="2" t="str">
        <f>_xlfn.XLOOKUP(E48, Product_Master!A:A, Product_Master!C:C)</f>
        <v>Electronics</v>
      </c>
      <c r="J48" s="2">
        <f>_xlfn.XLOOKUP(E48, Product_Master!A:A, Product_Master!D:D)</f>
        <v>2000</v>
      </c>
      <c r="K48" s="2">
        <f t="shared" si="2"/>
        <v>91962</v>
      </c>
      <c r="L48" s="2">
        <f t="shared" si="3"/>
        <v>26000</v>
      </c>
      <c r="M48" s="2">
        <f t="shared" si="0"/>
        <v>65962</v>
      </c>
      <c r="N48" s="2">
        <f>_xlfn.XLOOKUP(D48, Sales_Rep_Master!A:A, Sales_Rep_Master!B:B)</f>
        <v>880000</v>
      </c>
      <c r="O48" s="4">
        <f t="shared" si="1"/>
        <v>0.10450227272727272</v>
      </c>
    </row>
    <row r="49" spans="1:15" ht="15.75" hidden="1" x14ac:dyDescent="0.25">
      <c r="A49" s="3" t="s">
        <v>118</v>
      </c>
      <c r="B49" s="2" t="s">
        <v>119</v>
      </c>
      <c r="C49" s="2" t="s">
        <v>26</v>
      </c>
      <c r="D49" s="2" t="s">
        <v>51</v>
      </c>
      <c r="E49" s="2" t="s">
        <v>15</v>
      </c>
      <c r="F49" s="2">
        <v>13</v>
      </c>
      <c r="G49" s="2">
        <v>2798</v>
      </c>
      <c r="H49" s="2" t="str">
        <f>_xlfn.XLOOKUP(E49, Product_Master!A:A, Product_Master!B:B)</f>
        <v>Chair</v>
      </c>
      <c r="I49" s="2" t="str">
        <f>_xlfn.XLOOKUP(E49, Product_Master!A:A, Product_Master!C:C)</f>
        <v>Furniture</v>
      </c>
      <c r="J49" s="2">
        <f>_xlfn.XLOOKUP(E49, Product_Master!A:A, Product_Master!D:D)</f>
        <v>2500</v>
      </c>
      <c r="K49" s="2">
        <f t="shared" si="2"/>
        <v>36374</v>
      </c>
      <c r="L49" s="2">
        <f t="shared" si="3"/>
        <v>32500</v>
      </c>
      <c r="M49" s="2">
        <f t="shared" si="0"/>
        <v>3874</v>
      </c>
      <c r="N49" s="2">
        <f>_xlfn.XLOOKUP(D49, Sales_Rep_Master!A:A, Sales_Rep_Master!B:B)</f>
        <v>900000</v>
      </c>
      <c r="O49" s="4">
        <f t="shared" si="1"/>
        <v>4.0415555555555559E-2</v>
      </c>
    </row>
    <row r="50" spans="1:15" ht="15.75" hidden="1" x14ac:dyDescent="0.25">
      <c r="A50" s="3" t="s">
        <v>120</v>
      </c>
      <c r="B50" s="2" t="s">
        <v>121</v>
      </c>
      <c r="C50" s="2" t="s">
        <v>33</v>
      </c>
      <c r="D50" s="2" t="s">
        <v>37</v>
      </c>
      <c r="E50" s="2" t="s">
        <v>15</v>
      </c>
      <c r="F50" s="2">
        <v>8</v>
      </c>
      <c r="G50" s="2">
        <v>573</v>
      </c>
      <c r="H50" s="2" t="str">
        <f>_xlfn.XLOOKUP(E50, Product_Master!A:A, Product_Master!B:B)</f>
        <v>Chair</v>
      </c>
      <c r="I50" s="2" t="str">
        <f>_xlfn.XLOOKUP(E50, Product_Master!A:A, Product_Master!C:C)</f>
        <v>Furniture</v>
      </c>
      <c r="J50" s="2">
        <f>_xlfn.XLOOKUP(E50, Product_Master!A:A, Product_Master!D:D)</f>
        <v>2500</v>
      </c>
      <c r="K50" s="2">
        <f t="shared" si="2"/>
        <v>4584</v>
      </c>
      <c r="L50" s="2">
        <f t="shared" si="3"/>
        <v>20000</v>
      </c>
      <c r="M50" s="2">
        <f t="shared" si="0"/>
        <v>-15416</v>
      </c>
      <c r="N50" s="2">
        <f>_xlfn.XLOOKUP(D50, Sales_Rep_Master!A:A, Sales_Rep_Master!B:B)</f>
        <v>850000</v>
      </c>
      <c r="O50" s="4">
        <f t="shared" si="1"/>
        <v>5.3929411764705882E-3</v>
      </c>
    </row>
    <row r="51" spans="1:15" ht="15.75" x14ac:dyDescent="0.25">
      <c r="A51" s="3" t="s">
        <v>122</v>
      </c>
      <c r="B51" s="2" t="s">
        <v>123</v>
      </c>
      <c r="C51" s="2" t="s">
        <v>26</v>
      </c>
      <c r="D51" s="2" t="s">
        <v>51</v>
      </c>
      <c r="E51" s="2" t="s">
        <v>11</v>
      </c>
      <c r="F51" s="2">
        <v>6</v>
      </c>
      <c r="G51" s="2">
        <v>5928</v>
      </c>
      <c r="H51" s="2" t="str">
        <f>_xlfn.XLOOKUP(E51, Product_Master!A:A, Product_Master!B:B)</f>
        <v>Mobile</v>
      </c>
      <c r="I51" s="2" t="str">
        <f>_xlfn.XLOOKUP(E51, Product_Master!A:A, Product_Master!C:C)</f>
        <v>Electronics</v>
      </c>
      <c r="J51" s="2">
        <f>_xlfn.XLOOKUP(E51, Product_Master!A:A, Product_Master!D:D)</f>
        <v>18000</v>
      </c>
      <c r="K51" s="2">
        <f t="shared" si="2"/>
        <v>35568</v>
      </c>
      <c r="L51" s="2">
        <f t="shared" si="3"/>
        <v>108000</v>
      </c>
      <c r="M51" s="2">
        <f t="shared" si="0"/>
        <v>-72432</v>
      </c>
      <c r="N51" s="2">
        <f>_xlfn.XLOOKUP(D51, Sales_Rep_Master!A:A, Sales_Rep_Master!B:B)</f>
        <v>900000</v>
      </c>
      <c r="O51" s="4">
        <f t="shared" si="1"/>
        <v>3.952E-2</v>
      </c>
    </row>
    <row r="52" spans="1:15" ht="15.75" hidden="1" x14ac:dyDescent="0.25">
      <c r="A52" s="3" t="s">
        <v>124</v>
      </c>
      <c r="B52" s="2" t="s">
        <v>85</v>
      </c>
      <c r="C52" s="2" t="s">
        <v>33</v>
      </c>
      <c r="D52" s="2" t="s">
        <v>10</v>
      </c>
      <c r="E52" s="2" t="s">
        <v>61</v>
      </c>
      <c r="F52" s="2">
        <v>6</v>
      </c>
      <c r="G52" s="2">
        <v>1482</v>
      </c>
      <c r="H52" s="2" t="str">
        <f>_xlfn.XLOOKUP(E52, Product_Master!A:A, Product_Master!B:B)</f>
        <v>Shoes</v>
      </c>
      <c r="I52" s="2" t="str">
        <f>_xlfn.XLOOKUP(E52, Product_Master!A:A, Product_Master!C:C)</f>
        <v>Clothing</v>
      </c>
      <c r="J52" s="2">
        <f>_xlfn.XLOOKUP(E52, Product_Master!A:A, Product_Master!D:D)</f>
        <v>2000</v>
      </c>
      <c r="K52" s="2">
        <f t="shared" si="2"/>
        <v>8892</v>
      </c>
      <c r="L52" s="2">
        <f t="shared" si="3"/>
        <v>12000</v>
      </c>
      <c r="M52" s="2">
        <f t="shared" si="0"/>
        <v>-3108</v>
      </c>
      <c r="N52" s="2">
        <f>_xlfn.XLOOKUP(D52, Sales_Rep_Master!A:A, Sales_Rep_Master!B:B)</f>
        <v>920000</v>
      </c>
      <c r="O52" s="4">
        <f t="shared" si="1"/>
        <v>9.6652173913043486E-3</v>
      </c>
    </row>
    <row r="53" spans="1:15" ht="15.75" x14ac:dyDescent="0.25">
      <c r="A53" s="3" t="s">
        <v>125</v>
      </c>
      <c r="B53" s="2" t="s">
        <v>126</v>
      </c>
      <c r="C53" s="2" t="s">
        <v>33</v>
      </c>
      <c r="D53" s="2" t="s">
        <v>37</v>
      </c>
      <c r="E53" s="2" t="s">
        <v>11</v>
      </c>
      <c r="F53" s="2">
        <v>14</v>
      </c>
      <c r="G53" s="2">
        <v>2236</v>
      </c>
      <c r="H53" s="2" t="str">
        <f>_xlfn.XLOOKUP(E53, Product_Master!A:A, Product_Master!B:B)</f>
        <v>Mobile</v>
      </c>
      <c r="I53" s="2" t="str">
        <f>_xlfn.XLOOKUP(E53, Product_Master!A:A, Product_Master!C:C)</f>
        <v>Electronics</v>
      </c>
      <c r="J53" s="2">
        <f>_xlfn.XLOOKUP(E53, Product_Master!A:A, Product_Master!D:D)</f>
        <v>18000</v>
      </c>
      <c r="K53" s="2">
        <f t="shared" si="2"/>
        <v>31304</v>
      </c>
      <c r="L53" s="2">
        <f t="shared" si="3"/>
        <v>252000</v>
      </c>
      <c r="M53" s="2">
        <f t="shared" si="0"/>
        <v>-220696</v>
      </c>
      <c r="N53" s="2">
        <f>_xlfn.XLOOKUP(D53, Sales_Rep_Master!A:A, Sales_Rep_Master!B:B)</f>
        <v>850000</v>
      </c>
      <c r="O53" s="4">
        <f t="shared" si="1"/>
        <v>3.6828235294117648E-2</v>
      </c>
    </row>
    <row r="54" spans="1:15" ht="15.75" hidden="1" x14ac:dyDescent="0.25">
      <c r="A54" s="3" t="s">
        <v>127</v>
      </c>
      <c r="B54" s="2" t="s">
        <v>128</v>
      </c>
      <c r="C54" s="2" t="s">
        <v>33</v>
      </c>
      <c r="D54" s="2" t="s">
        <v>27</v>
      </c>
      <c r="E54" s="2" t="s">
        <v>15</v>
      </c>
      <c r="F54" s="2">
        <v>7</v>
      </c>
      <c r="G54" s="2">
        <v>5072</v>
      </c>
      <c r="H54" s="2" t="str">
        <f>_xlfn.XLOOKUP(E54, Product_Master!A:A, Product_Master!B:B)</f>
        <v>Chair</v>
      </c>
      <c r="I54" s="2" t="str">
        <f>_xlfn.XLOOKUP(E54, Product_Master!A:A, Product_Master!C:C)</f>
        <v>Furniture</v>
      </c>
      <c r="J54" s="2">
        <f>_xlfn.XLOOKUP(E54, Product_Master!A:A, Product_Master!D:D)</f>
        <v>2500</v>
      </c>
      <c r="K54" s="2">
        <f t="shared" si="2"/>
        <v>35504</v>
      </c>
      <c r="L54" s="2">
        <f t="shared" si="3"/>
        <v>17500</v>
      </c>
      <c r="M54" s="2">
        <f t="shared" si="0"/>
        <v>18004</v>
      </c>
      <c r="N54" s="2">
        <f>_xlfn.XLOOKUP(D54, Sales_Rep_Master!A:A, Sales_Rep_Master!B:B)</f>
        <v>800000</v>
      </c>
      <c r="O54" s="4">
        <f t="shared" si="1"/>
        <v>4.4380000000000003E-2</v>
      </c>
    </row>
    <row r="55" spans="1:15" ht="15.75" hidden="1" x14ac:dyDescent="0.25">
      <c r="A55" s="3" t="s">
        <v>129</v>
      </c>
      <c r="B55" s="2" t="s">
        <v>25</v>
      </c>
      <c r="C55" s="2" t="s">
        <v>18</v>
      </c>
      <c r="D55" s="2" t="s">
        <v>54</v>
      </c>
      <c r="E55" s="2" t="s">
        <v>23</v>
      </c>
      <c r="F55" s="2">
        <v>5</v>
      </c>
      <c r="G55" s="2">
        <v>2037</v>
      </c>
      <c r="H55" s="2" t="str">
        <f>_xlfn.XLOOKUP(E55, Product_Master!A:A, Product_Master!B:B)</f>
        <v>Sofa</v>
      </c>
      <c r="I55" s="2" t="str">
        <f>_xlfn.XLOOKUP(E55, Product_Master!A:A, Product_Master!C:C)</f>
        <v>Furniture</v>
      </c>
      <c r="J55" s="2">
        <f>_xlfn.XLOOKUP(E55, Product_Master!A:A, Product_Master!D:D)</f>
        <v>15000</v>
      </c>
      <c r="K55" s="2">
        <f t="shared" si="2"/>
        <v>10185</v>
      </c>
      <c r="L55" s="2">
        <f t="shared" si="3"/>
        <v>75000</v>
      </c>
      <c r="M55" s="2">
        <f t="shared" si="0"/>
        <v>-64815</v>
      </c>
      <c r="N55" s="2">
        <f>_xlfn.XLOOKUP(D55, Sales_Rep_Master!A:A, Sales_Rep_Master!B:B)</f>
        <v>890000</v>
      </c>
      <c r="O55" s="4">
        <f t="shared" si="1"/>
        <v>1.1443820224719101E-2</v>
      </c>
    </row>
    <row r="56" spans="1:15" ht="15.75" hidden="1" x14ac:dyDescent="0.25">
      <c r="A56" s="3" t="s">
        <v>130</v>
      </c>
      <c r="B56" s="2" t="s">
        <v>131</v>
      </c>
      <c r="C56" s="2" t="s">
        <v>18</v>
      </c>
      <c r="D56" s="2" t="s">
        <v>27</v>
      </c>
      <c r="E56" s="2" t="s">
        <v>34</v>
      </c>
      <c r="F56" s="2">
        <v>12</v>
      </c>
      <c r="G56" s="2">
        <v>2037</v>
      </c>
      <c r="H56" s="2" t="str">
        <f>_xlfn.XLOOKUP(E56, Product_Master!A:A, Product_Master!B:B)</f>
        <v>Jacket</v>
      </c>
      <c r="I56" s="2" t="str">
        <f>_xlfn.XLOOKUP(E56, Product_Master!A:A, Product_Master!C:C)</f>
        <v>Clothing</v>
      </c>
      <c r="J56" s="2">
        <f>_xlfn.XLOOKUP(E56, Product_Master!A:A, Product_Master!D:D)</f>
        <v>1500</v>
      </c>
      <c r="K56" s="2">
        <f t="shared" si="2"/>
        <v>24444</v>
      </c>
      <c r="L56" s="2">
        <f t="shared" si="3"/>
        <v>18000</v>
      </c>
      <c r="M56" s="2">
        <f t="shared" si="0"/>
        <v>6444</v>
      </c>
      <c r="N56" s="2">
        <f>_xlfn.XLOOKUP(D56, Sales_Rep_Master!A:A, Sales_Rep_Master!B:B)</f>
        <v>800000</v>
      </c>
      <c r="O56" s="4">
        <f t="shared" si="1"/>
        <v>3.0554999999999999E-2</v>
      </c>
    </row>
    <row r="57" spans="1:15" ht="15.75" hidden="1" x14ac:dyDescent="0.25">
      <c r="A57" s="3" t="s">
        <v>132</v>
      </c>
      <c r="B57" s="2" t="s">
        <v>133</v>
      </c>
      <c r="C57" s="2" t="s">
        <v>9</v>
      </c>
      <c r="D57" s="2" t="s">
        <v>10</v>
      </c>
      <c r="E57" s="2" t="s">
        <v>61</v>
      </c>
      <c r="F57" s="2">
        <v>9</v>
      </c>
      <c r="G57" s="2">
        <v>579</v>
      </c>
      <c r="H57" s="2" t="str">
        <f>_xlfn.XLOOKUP(E57, Product_Master!A:A, Product_Master!B:B)</f>
        <v>Shoes</v>
      </c>
      <c r="I57" s="2" t="str">
        <f>_xlfn.XLOOKUP(E57, Product_Master!A:A, Product_Master!C:C)</f>
        <v>Clothing</v>
      </c>
      <c r="J57" s="2">
        <f>_xlfn.XLOOKUP(E57, Product_Master!A:A, Product_Master!D:D)</f>
        <v>2000</v>
      </c>
      <c r="K57" s="2">
        <f t="shared" si="2"/>
        <v>5211</v>
      </c>
      <c r="L57" s="2">
        <f t="shared" si="3"/>
        <v>18000</v>
      </c>
      <c r="M57" s="2">
        <f t="shared" si="0"/>
        <v>-12789</v>
      </c>
      <c r="N57" s="2">
        <f>_xlfn.XLOOKUP(D57, Sales_Rep_Master!A:A, Sales_Rep_Master!B:B)</f>
        <v>920000</v>
      </c>
      <c r="O57" s="4">
        <f t="shared" si="1"/>
        <v>5.6641304347826091E-3</v>
      </c>
    </row>
    <row r="58" spans="1:15" ht="15.75" hidden="1" x14ac:dyDescent="0.25">
      <c r="A58" s="3" t="s">
        <v>134</v>
      </c>
      <c r="B58" s="2" t="s">
        <v>135</v>
      </c>
      <c r="C58" s="2" t="s">
        <v>33</v>
      </c>
      <c r="D58" s="2" t="s">
        <v>27</v>
      </c>
      <c r="E58" s="2" t="s">
        <v>61</v>
      </c>
      <c r="F58" s="2">
        <v>6</v>
      </c>
      <c r="G58" s="2">
        <v>4465</v>
      </c>
      <c r="H58" s="2" t="str">
        <f>_xlfn.XLOOKUP(E58, Product_Master!A:A, Product_Master!B:B)</f>
        <v>Shoes</v>
      </c>
      <c r="I58" s="2" t="str">
        <f>_xlfn.XLOOKUP(E58, Product_Master!A:A, Product_Master!C:C)</f>
        <v>Clothing</v>
      </c>
      <c r="J58" s="2">
        <f>_xlfn.XLOOKUP(E58, Product_Master!A:A, Product_Master!D:D)</f>
        <v>2000</v>
      </c>
      <c r="K58" s="2">
        <f t="shared" si="2"/>
        <v>26790</v>
      </c>
      <c r="L58" s="2">
        <f t="shared" si="3"/>
        <v>12000</v>
      </c>
      <c r="M58" s="2">
        <f t="shared" si="0"/>
        <v>14790</v>
      </c>
      <c r="N58" s="2">
        <f>_xlfn.XLOOKUP(D58, Sales_Rep_Master!A:A, Sales_Rep_Master!B:B)</f>
        <v>800000</v>
      </c>
      <c r="O58" s="4">
        <f t="shared" si="1"/>
        <v>3.3487500000000003E-2</v>
      </c>
    </row>
    <row r="59" spans="1:15" ht="15.75" hidden="1" x14ac:dyDescent="0.25">
      <c r="A59" s="3" t="s">
        <v>136</v>
      </c>
      <c r="B59" s="2" t="s">
        <v>137</v>
      </c>
      <c r="C59" s="2" t="s">
        <v>33</v>
      </c>
      <c r="D59" s="2" t="s">
        <v>19</v>
      </c>
      <c r="E59" s="2" t="s">
        <v>40</v>
      </c>
      <c r="F59" s="2">
        <v>6</v>
      </c>
      <c r="G59" s="2">
        <v>4577</v>
      </c>
      <c r="H59" s="2" t="str">
        <f>_xlfn.XLOOKUP(E59, Product_Master!A:A, Product_Master!B:B)</f>
        <v>Table</v>
      </c>
      <c r="I59" s="2" t="str">
        <f>_xlfn.XLOOKUP(E59, Product_Master!A:A, Product_Master!C:C)</f>
        <v>Furniture</v>
      </c>
      <c r="J59" s="2">
        <f>_xlfn.XLOOKUP(E59, Product_Master!A:A, Product_Master!D:D)</f>
        <v>7000</v>
      </c>
      <c r="K59" s="2">
        <f t="shared" si="2"/>
        <v>27462</v>
      </c>
      <c r="L59" s="2">
        <f t="shared" si="3"/>
        <v>42000</v>
      </c>
      <c r="M59" s="2">
        <f t="shared" si="0"/>
        <v>-14538</v>
      </c>
      <c r="N59" s="2">
        <f>_xlfn.XLOOKUP(D59, Sales_Rep_Master!A:A, Sales_Rep_Master!B:B)</f>
        <v>950000</v>
      </c>
      <c r="O59" s="4">
        <f t="shared" si="1"/>
        <v>2.8907368421052633E-2</v>
      </c>
    </row>
    <row r="60" spans="1:15" ht="15.75" x14ac:dyDescent="0.25">
      <c r="A60" s="3" t="s">
        <v>138</v>
      </c>
      <c r="B60" s="2" t="s">
        <v>139</v>
      </c>
      <c r="C60" s="2" t="s">
        <v>33</v>
      </c>
      <c r="D60" s="2" t="s">
        <v>10</v>
      </c>
      <c r="E60" s="2" t="s">
        <v>11</v>
      </c>
      <c r="F60" s="2">
        <v>7</v>
      </c>
      <c r="G60" s="2">
        <v>4661</v>
      </c>
      <c r="H60" s="2" t="str">
        <f>_xlfn.XLOOKUP(E60, Product_Master!A:A, Product_Master!B:B)</f>
        <v>Mobile</v>
      </c>
      <c r="I60" s="2" t="str">
        <f>_xlfn.XLOOKUP(E60, Product_Master!A:A, Product_Master!C:C)</f>
        <v>Electronics</v>
      </c>
      <c r="J60" s="2">
        <f>_xlfn.XLOOKUP(E60, Product_Master!A:A, Product_Master!D:D)</f>
        <v>18000</v>
      </c>
      <c r="K60" s="2">
        <f t="shared" si="2"/>
        <v>32627</v>
      </c>
      <c r="L60" s="2">
        <f t="shared" si="3"/>
        <v>126000</v>
      </c>
      <c r="M60" s="2">
        <f t="shared" si="0"/>
        <v>-93373</v>
      </c>
      <c r="N60" s="2">
        <f>_xlfn.XLOOKUP(D60, Sales_Rep_Master!A:A, Sales_Rep_Master!B:B)</f>
        <v>920000</v>
      </c>
      <c r="O60" s="4">
        <f t="shared" si="1"/>
        <v>3.5464130434782609E-2</v>
      </c>
    </row>
    <row r="61" spans="1:15" ht="15.75" hidden="1" x14ac:dyDescent="0.25">
      <c r="A61" s="3" t="s">
        <v>140</v>
      </c>
      <c r="B61" s="2" t="s">
        <v>141</v>
      </c>
      <c r="C61" s="2" t="s">
        <v>33</v>
      </c>
      <c r="D61" s="2" t="s">
        <v>14</v>
      </c>
      <c r="E61" s="2" t="s">
        <v>23</v>
      </c>
      <c r="F61" s="2">
        <v>8</v>
      </c>
      <c r="G61" s="2">
        <v>889</v>
      </c>
      <c r="H61" s="2" t="str">
        <f>_xlfn.XLOOKUP(E61, Product_Master!A:A, Product_Master!B:B)</f>
        <v>Sofa</v>
      </c>
      <c r="I61" s="2" t="str">
        <f>_xlfn.XLOOKUP(E61, Product_Master!A:A, Product_Master!C:C)</f>
        <v>Furniture</v>
      </c>
      <c r="J61" s="2">
        <f>_xlfn.XLOOKUP(E61, Product_Master!A:A, Product_Master!D:D)</f>
        <v>15000</v>
      </c>
      <c r="K61" s="2">
        <f t="shared" si="2"/>
        <v>7112</v>
      </c>
      <c r="L61" s="2">
        <f t="shared" si="3"/>
        <v>120000</v>
      </c>
      <c r="M61" s="2">
        <f t="shared" si="0"/>
        <v>-112888</v>
      </c>
      <c r="N61" s="2">
        <f>_xlfn.XLOOKUP(D61, Sales_Rep_Master!A:A, Sales_Rep_Master!B:B)</f>
        <v>880000</v>
      </c>
      <c r="O61" s="4">
        <f t="shared" si="1"/>
        <v>8.0818181818181813E-3</v>
      </c>
    </row>
    <row r="62" spans="1:15" ht="15.75" hidden="1" x14ac:dyDescent="0.25">
      <c r="A62" s="3" t="s">
        <v>142</v>
      </c>
      <c r="B62" s="2" t="s">
        <v>143</v>
      </c>
      <c r="C62" s="2" t="s">
        <v>18</v>
      </c>
      <c r="D62" s="2" t="s">
        <v>51</v>
      </c>
      <c r="E62" s="2" t="s">
        <v>61</v>
      </c>
      <c r="F62" s="2">
        <v>11</v>
      </c>
      <c r="G62" s="2">
        <v>3995</v>
      </c>
      <c r="H62" s="2" t="str">
        <f>_xlfn.XLOOKUP(E62, Product_Master!A:A, Product_Master!B:B)</f>
        <v>Shoes</v>
      </c>
      <c r="I62" s="2" t="str">
        <f>_xlfn.XLOOKUP(E62, Product_Master!A:A, Product_Master!C:C)</f>
        <v>Clothing</v>
      </c>
      <c r="J62" s="2">
        <f>_xlfn.XLOOKUP(E62, Product_Master!A:A, Product_Master!D:D)</f>
        <v>2000</v>
      </c>
      <c r="K62" s="2">
        <f t="shared" si="2"/>
        <v>43945</v>
      </c>
      <c r="L62" s="2">
        <f t="shared" si="3"/>
        <v>22000</v>
      </c>
      <c r="M62" s="2">
        <f t="shared" si="0"/>
        <v>21945</v>
      </c>
      <c r="N62" s="2">
        <f>_xlfn.XLOOKUP(D62, Sales_Rep_Master!A:A, Sales_Rep_Master!B:B)</f>
        <v>900000</v>
      </c>
      <c r="O62" s="4">
        <f t="shared" si="1"/>
        <v>4.8827777777777776E-2</v>
      </c>
    </row>
    <row r="63" spans="1:15" ht="15.75" x14ac:dyDescent="0.25">
      <c r="A63" s="3" t="s">
        <v>144</v>
      </c>
      <c r="B63" s="2" t="s">
        <v>145</v>
      </c>
      <c r="C63" s="2" t="s">
        <v>33</v>
      </c>
      <c r="D63" s="2" t="s">
        <v>14</v>
      </c>
      <c r="E63" s="2" t="s">
        <v>28</v>
      </c>
      <c r="F63" s="2">
        <v>1</v>
      </c>
      <c r="G63" s="2">
        <v>5980</v>
      </c>
      <c r="H63" s="2" t="str">
        <f>_xlfn.XLOOKUP(E63, Product_Master!A:A, Product_Master!B:B)</f>
        <v>Laptop</v>
      </c>
      <c r="I63" s="2" t="str">
        <f>_xlfn.XLOOKUP(E63, Product_Master!A:A, Product_Master!C:C)</f>
        <v>Electronics</v>
      </c>
      <c r="J63" s="2">
        <f>_xlfn.XLOOKUP(E63, Product_Master!A:A, Product_Master!D:D)</f>
        <v>35000</v>
      </c>
      <c r="K63" s="2">
        <f t="shared" si="2"/>
        <v>5980</v>
      </c>
      <c r="L63" s="2">
        <f t="shared" si="3"/>
        <v>35000</v>
      </c>
      <c r="M63" s="2">
        <f t="shared" si="0"/>
        <v>-29020</v>
      </c>
      <c r="N63" s="2">
        <f>_xlfn.XLOOKUP(D63, Sales_Rep_Master!A:A, Sales_Rep_Master!B:B)</f>
        <v>880000</v>
      </c>
      <c r="O63" s="4">
        <f t="shared" si="1"/>
        <v>6.7954545454545455E-3</v>
      </c>
    </row>
    <row r="64" spans="1:15" ht="15.75" x14ac:dyDescent="0.25">
      <c r="A64" s="3" t="s">
        <v>146</v>
      </c>
      <c r="B64" s="2" t="s">
        <v>147</v>
      </c>
      <c r="C64" s="2" t="s">
        <v>9</v>
      </c>
      <c r="D64" s="2" t="s">
        <v>37</v>
      </c>
      <c r="E64" s="2" t="s">
        <v>28</v>
      </c>
      <c r="F64" s="2">
        <v>12</v>
      </c>
      <c r="G64" s="2">
        <v>6286</v>
      </c>
      <c r="H64" s="2" t="str">
        <f>_xlfn.XLOOKUP(E64, Product_Master!A:A, Product_Master!B:B)</f>
        <v>Laptop</v>
      </c>
      <c r="I64" s="2" t="str">
        <f>_xlfn.XLOOKUP(E64, Product_Master!A:A, Product_Master!C:C)</f>
        <v>Electronics</v>
      </c>
      <c r="J64" s="2">
        <f>_xlfn.XLOOKUP(E64, Product_Master!A:A, Product_Master!D:D)</f>
        <v>35000</v>
      </c>
      <c r="K64" s="2">
        <f t="shared" si="2"/>
        <v>75432</v>
      </c>
      <c r="L64" s="2">
        <f t="shared" si="3"/>
        <v>420000</v>
      </c>
      <c r="M64" s="2">
        <f t="shared" si="0"/>
        <v>-344568</v>
      </c>
      <c r="N64" s="2">
        <f>_xlfn.XLOOKUP(D64, Sales_Rep_Master!A:A, Sales_Rep_Master!B:B)</f>
        <v>850000</v>
      </c>
      <c r="O64" s="4">
        <f t="shared" si="1"/>
        <v>8.8743529411764707E-2</v>
      </c>
    </row>
    <row r="65" spans="1:15" ht="15.75" hidden="1" x14ac:dyDescent="0.25">
      <c r="A65" s="3" t="s">
        <v>148</v>
      </c>
      <c r="B65" s="2" t="s">
        <v>149</v>
      </c>
      <c r="C65" s="2" t="s">
        <v>9</v>
      </c>
      <c r="D65" s="2" t="s">
        <v>54</v>
      </c>
      <c r="E65" s="2" t="s">
        <v>40</v>
      </c>
      <c r="F65" s="2">
        <v>6</v>
      </c>
      <c r="G65" s="2">
        <v>3786</v>
      </c>
      <c r="H65" s="2" t="str">
        <f>_xlfn.XLOOKUP(E65, Product_Master!A:A, Product_Master!B:B)</f>
        <v>Table</v>
      </c>
      <c r="I65" s="2" t="str">
        <f>_xlfn.XLOOKUP(E65, Product_Master!A:A, Product_Master!C:C)</f>
        <v>Furniture</v>
      </c>
      <c r="J65" s="2">
        <f>_xlfn.XLOOKUP(E65, Product_Master!A:A, Product_Master!D:D)</f>
        <v>7000</v>
      </c>
      <c r="K65" s="2">
        <f t="shared" si="2"/>
        <v>22716</v>
      </c>
      <c r="L65" s="2">
        <f t="shared" si="3"/>
        <v>42000</v>
      </c>
      <c r="M65" s="2">
        <f t="shared" si="0"/>
        <v>-19284</v>
      </c>
      <c r="N65" s="2">
        <f>_xlfn.XLOOKUP(D65, Sales_Rep_Master!A:A, Sales_Rep_Master!B:B)</f>
        <v>890000</v>
      </c>
      <c r="O65" s="4">
        <f t="shared" si="1"/>
        <v>2.5523595505617978E-2</v>
      </c>
    </row>
    <row r="66" spans="1:15" ht="15.75" hidden="1" x14ac:dyDescent="0.25">
      <c r="A66" s="3" t="s">
        <v>150</v>
      </c>
      <c r="B66" s="2" t="s">
        <v>151</v>
      </c>
      <c r="C66" s="2" t="s">
        <v>26</v>
      </c>
      <c r="D66" s="2" t="s">
        <v>152</v>
      </c>
      <c r="E66" s="2" t="s">
        <v>34</v>
      </c>
      <c r="F66" s="2">
        <v>1</v>
      </c>
      <c r="G66" s="2">
        <v>5602</v>
      </c>
      <c r="H66" s="2" t="str">
        <f>_xlfn.XLOOKUP(E66, Product_Master!A:A, Product_Master!B:B)</f>
        <v>Jacket</v>
      </c>
      <c r="I66" s="2" t="str">
        <f>_xlfn.XLOOKUP(E66, Product_Master!A:A, Product_Master!C:C)</f>
        <v>Clothing</v>
      </c>
      <c r="J66" s="2">
        <f>_xlfn.XLOOKUP(E66, Product_Master!A:A, Product_Master!D:D)</f>
        <v>1500</v>
      </c>
      <c r="K66" s="2">
        <f t="shared" ref="K66:K129" si="4">F66*G66</f>
        <v>5602</v>
      </c>
      <c r="L66" s="2">
        <f t="shared" ref="L66:L129" si="5">F66*J66</f>
        <v>1500</v>
      </c>
      <c r="M66" s="2">
        <f t="shared" ref="M66:M129" si="6">K66-L66</f>
        <v>4102</v>
      </c>
      <c r="N66" s="2">
        <f>_xlfn.XLOOKUP(D66, Sales_Rep_Master!A:A, Sales_Rep_Master!B:B)</f>
        <v>870000</v>
      </c>
      <c r="O66" s="4">
        <f t="shared" ref="O66:O129" si="7">K66/N66</f>
        <v>6.439080459770115E-3</v>
      </c>
    </row>
    <row r="67" spans="1:15" ht="15.75" hidden="1" x14ac:dyDescent="0.25">
      <c r="A67" s="3" t="s">
        <v>153</v>
      </c>
      <c r="B67" s="2" t="s">
        <v>65</v>
      </c>
      <c r="C67" s="2" t="s">
        <v>9</v>
      </c>
      <c r="D67" s="2" t="s">
        <v>51</v>
      </c>
      <c r="E67" s="2" t="s">
        <v>23</v>
      </c>
      <c r="F67" s="2">
        <v>11</v>
      </c>
      <c r="G67" s="2">
        <v>6816</v>
      </c>
      <c r="H67" s="2" t="str">
        <f>_xlfn.XLOOKUP(E67, Product_Master!A:A, Product_Master!B:B)</f>
        <v>Sofa</v>
      </c>
      <c r="I67" s="2" t="str">
        <f>_xlfn.XLOOKUP(E67, Product_Master!A:A, Product_Master!C:C)</f>
        <v>Furniture</v>
      </c>
      <c r="J67" s="2">
        <f>_xlfn.XLOOKUP(E67, Product_Master!A:A, Product_Master!D:D)</f>
        <v>15000</v>
      </c>
      <c r="K67" s="2">
        <f t="shared" si="4"/>
        <v>74976</v>
      </c>
      <c r="L67" s="2">
        <f t="shared" si="5"/>
        <v>165000</v>
      </c>
      <c r="M67" s="2">
        <f t="shared" si="6"/>
        <v>-90024</v>
      </c>
      <c r="N67" s="2">
        <f>_xlfn.XLOOKUP(D67, Sales_Rep_Master!A:A, Sales_Rep_Master!B:B)</f>
        <v>900000</v>
      </c>
      <c r="O67" s="4">
        <f t="shared" si="7"/>
        <v>8.3306666666666668E-2</v>
      </c>
    </row>
    <row r="68" spans="1:15" ht="15.75" x14ac:dyDescent="0.25">
      <c r="A68" s="3" t="s">
        <v>154</v>
      </c>
      <c r="B68" s="2" t="s">
        <v>155</v>
      </c>
      <c r="C68" s="2" t="s">
        <v>9</v>
      </c>
      <c r="D68" s="2" t="s">
        <v>19</v>
      </c>
      <c r="E68" s="2" t="s">
        <v>11</v>
      </c>
      <c r="F68" s="2">
        <v>12</v>
      </c>
      <c r="G68" s="2">
        <v>676</v>
      </c>
      <c r="H68" s="2" t="str">
        <f>_xlfn.XLOOKUP(E68, Product_Master!A:A, Product_Master!B:B)</f>
        <v>Mobile</v>
      </c>
      <c r="I68" s="2" t="str">
        <f>_xlfn.XLOOKUP(E68, Product_Master!A:A, Product_Master!C:C)</f>
        <v>Electronics</v>
      </c>
      <c r="J68" s="2">
        <f>_xlfn.XLOOKUP(E68, Product_Master!A:A, Product_Master!D:D)</f>
        <v>18000</v>
      </c>
      <c r="K68" s="2">
        <f t="shared" si="4"/>
        <v>8112</v>
      </c>
      <c r="L68" s="2">
        <f t="shared" si="5"/>
        <v>216000</v>
      </c>
      <c r="M68" s="2">
        <f t="shared" si="6"/>
        <v>-207888</v>
      </c>
      <c r="N68" s="2">
        <f>_xlfn.XLOOKUP(D68, Sales_Rep_Master!A:A, Sales_Rep_Master!B:B)</f>
        <v>950000</v>
      </c>
      <c r="O68" s="4">
        <f t="shared" si="7"/>
        <v>8.5389473684210522E-3</v>
      </c>
    </row>
    <row r="69" spans="1:15" ht="15.75" hidden="1" x14ac:dyDescent="0.25">
      <c r="A69" s="3" t="s">
        <v>156</v>
      </c>
      <c r="B69" s="2" t="s">
        <v>157</v>
      </c>
      <c r="C69" s="2" t="s">
        <v>33</v>
      </c>
      <c r="D69" s="2" t="s">
        <v>37</v>
      </c>
      <c r="E69" s="2" t="s">
        <v>34</v>
      </c>
      <c r="F69" s="2">
        <v>3</v>
      </c>
      <c r="G69" s="2">
        <v>3642</v>
      </c>
      <c r="H69" s="2" t="str">
        <f>_xlfn.XLOOKUP(E69, Product_Master!A:A, Product_Master!B:B)</f>
        <v>Jacket</v>
      </c>
      <c r="I69" s="2" t="str">
        <f>_xlfn.XLOOKUP(E69, Product_Master!A:A, Product_Master!C:C)</f>
        <v>Clothing</v>
      </c>
      <c r="J69" s="2">
        <f>_xlfn.XLOOKUP(E69, Product_Master!A:A, Product_Master!D:D)</f>
        <v>1500</v>
      </c>
      <c r="K69" s="2">
        <f t="shared" si="4"/>
        <v>10926</v>
      </c>
      <c r="L69" s="2">
        <f t="shared" si="5"/>
        <v>4500</v>
      </c>
      <c r="M69" s="2">
        <f t="shared" si="6"/>
        <v>6426</v>
      </c>
      <c r="N69" s="2">
        <f>_xlfn.XLOOKUP(D69, Sales_Rep_Master!A:A, Sales_Rep_Master!B:B)</f>
        <v>850000</v>
      </c>
      <c r="O69" s="4">
        <f t="shared" si="7"/>
        <v>1.2854117647058823E-2</v>
      </c>
    </row>
    <row r="70" spans="1:15" ht="15.75" hidden="1" x14ac:dyDescent="0.25">
      <c r="A70" s="3" t="s">
        <v>158</v>
      </c>
      <c r="B70" s="2" t="s">
        <v>159</v>
      </c>
      <c r="C70" s="2" t="s">
        <v>33</v>
      </c>
      <c r="D70" s="2" t="s">
        <v>10</v>
      </c>
      <c r="E70" s="2" t="s">
        <v>34</v>
      </c>
      <c r="F70" s="2">
        <v>6</v>
      </c>
      <c r="G70" s="2">
        <v>1819</v>
      </c>
      <c r="H70" s="2" t="str">
        <f>_xlfn.XLOOKUP(E70, Product_Master!A:A, Product_Master!B:B)</f>
        <v>Jacket</v>
      </c>
      <c r="I70" s="2" t="str">
        <f>_xlfn.XLOOKUP(E70, Product_Master!A:A, Product_Master!C:C)</f>
        <v>Clothing</v>
      </c>
      <c r="J70" s="2">
        <f>_xlfn.XLOOKUP(E70, Product_Master!A:A, Product_Master!D:D)</f>
        <v>1500</v>
      </c>
      <c r="K70" s="2">
        <f t="shared" si="4"/>
        <v>10914</v>
      </c>
      <c r="L70" s="2">
        <f t="shared" si="5"/>
        <v>9000</v>
      </c>
      <c r="M70" s="2">
        <f t="shared" si="6"/>
        <v>1914</v>
      </c>
      <c r="N70" s="2">
        <f>_xlfn.XLOOKUP(D70, Sales_Rep_Master!A:A, Sales_Rep_Master!B:B)</f>
        <v>920000</v>
      </c>
      <c r="O70" s="4">
        <f t="shared" si="7"/>
        <v>1.186304347826087E-2</v>
      </c>
    </row>
    <row r="71" spans="1:15" ht="15.75" hidden="1" x14ac:dyDescent="0.25">
      <c r="A71" s="3" t="s">
        <v>160</v>
      </c>
      <c r="B71" s="2" t="s">
        <v>161</v>
      </c>
      <c r="C71" s="2" t="s">
        <v>26</v>
      </c>
      <c r="D71" s="2" t="s">
        <v>152</v>
      </c>
      <c r="E71" s="2" t="s">
        <v>34</v>
      </c>
      <c r="F71" s="2">
        <v>5</v>
      </c>
      <c r="G71" s="2">
        <v>4546</v>
      </c>
      <c r="H71" s="2" t="str">
        <f>_xlfn.XLOOKUP(E71, Product_Master!A:A, Product_Master!B:B)</f>
        <v>Jacket</v>
      </c>
      <c r="I71" s="2" t="str">
        <f>_xlfn.XLOOKUP(E71, Product_Master!A:A, Product_Master!C:C)</f>
        <v>Clothing</v>
      </c>
      <c r="J71" s="2">
        <f>_xlfn.XLOOKUP(E71, Product_Master!A:A, Product_Master!D:D)</f>
        <v>1500</v>
      </c>
      <c r="K71" s="2">
        <f t="shared" si="4"/>
        <v>22730</v>
      </c>
      <c r="L71" s="2">
        <f t="shared" si="5"/>
        <v>7500</v>
      </c>
      <c r="M71" s="2">
        <f t="shared" si="6"/>
        <v>15230</v>
      </c>
      <c r="N71" s="2">
        <f>_xlfn.XLOOKUP(D71, Sales_Rep_Master!A:A, Sales_Rep_Master!B:B)</f>
        <v>870000</v>
      </c>
      <c r="O71" s="4">
        <f t="shared" si="7"/>
        <v>2.6126436781609197E-2</v>
      </c>
    </row>
    <row r="72" spans="1:15" ht="15.75" hidden="1" x14ac:dyDescent="0.25">
      <c r="A72" s="3" t="s">
        <v>162</v>
      </c>
      <c r="B72" s="2" t="s">
        <v>83</v>
      </c>
      <c r="C72" s="2" t="s">
        <v>18</v>
      </c>
      <c r="D72" s="2" t="s">
        <v>54</v>
      </c>
      <c r="E72" s="2" t="s">
        <v>40</v>
      </c>
      <c r="F72" s="2">
        <v>4</v>
      </c>
      <c r="G72" s="2">
        <v>808</v>
      </c>
      <c r="H72" s="2" t="str">
        <f>_xlfn.XLOOKUP(E72, Product_Master!A:A, Product_Master!B:B)</f>
        <v>Table</v>
      </c>
      <c r="I72" s="2" t="str">
        <f>_xlfn.XLOOKUP(E72, Product_Master!A:A, Product_Master!C:C)</f>
        <v>Furniture</v>
      </c>
      <c r="J72" s="2">
        <f>_xlfn.XLOOKUP(E72, Product_Master!A:A, Product_Master!D:D)</f>
        <v>7000</v>
      </c>
      <c r="K72" s="2">
        <f t="shared" si="4"/>
        <v>3232</v>
      </c>
      <c r="L72" s="2">
        <f t="shared" si="5"/>
        <v>28000</v>
      </c>
      <c r="M72" s="2">
        <f t="shared" si="6"/>
        <v>-24768</v>
      </c>
      <c r="N72" s="2">
        <f>_xlfn.XLOOKUP(D72, Sales_Rep_Master!A:A, Sales_Rep_Master!B:B)</f>
        <v>890000</v>
      </c>
      <c r="O72" s="4">
        <f t="shared" si="7"/>
        <v>3.6314606741573033E-3</v>
      </c>
    </row>
    <row r="73" spans="1:15" ht="15.75" x14ac:dyDescent="0.25">
      <c r="A73" s="3" t="s">
        <v>163</v>
      </c>
      <c r="B73" s="2" t="s">
        <v>164</v>
      </c>
      <c r="C73" s="2" t="s">
        <v>9</v>
      </c>
      <c r="D73" s="2" t="s">
        <v>152</v>
      </c>
      <c r="E73" s="2" t="s">
        <v>11</v>
      </c>
      <c r="F73" s="2">
        <v>14</v>
      </c>
      <c r="G73" s="2">
        <v>4331</v>
      </c>
      <c r="H73" s="2" t="str">
        <f>_xlfn.XLOOKUP(E73, Product_Master!A:A, Product_Master!B:B)</f>
        <v>Mobile</v>
      </c>
      <c r="I73" s="2" t="str">
        <f>_xlfn.XLOOKUP(E73, Product_Master!A:A, Product_Master!C:C)</f>
        <v>Electronics</v>
      </c>
      <c r="J73" s="2">
        <f>_xlfn.XLOOKUP(E73, Product_Master!A:A, Product_Master!D:D)</f>
        <v>18000</v>
      </c>
      <c r="K73" s="2">
        <f t="shared" si="4"/>
        <v>60634</v>
      </c>
      <c r="L73" s="2">
        <f t="shared" si="5"/>
        <v>252000</v>
      </c>
      <c r="M73" s="2">
        <f t="shared" si="6"/>
        <v>-191366</v>
      </c>
      <c r="N73" s="2">
        <f>_xlfn.XLOOKUP(D73, Sales_Rep_Master!A:A, Sales_Rep_Master!B:B)</f>
        <v>870000</v>
      </c>
      <c r="O73" s="4">
        <f t="shared" si="7"/>
        <v>6.969425287356322E-2</v>
      </c>
    </row>
    <row r="74" spans="1:15" ht="15.75" x14ac:dyDescent="0.25">
      <c r="A74" s="3" t="s">
        <v>165</v>
      </c>
      <c r="B74" s="2" t="s">
        <v>166</v>
      </c>
      <c r="C74" s="2" t="s">
        <v>33</v>
      </c>
      <c r="D74" s="2" t="s">
        <v>19</v>
      </c>
      <c r="E74" s="2" t="s">
        <v>11</v>
      </c>
      <c r="F74" s="2">
        <v>15</v>
      </c>
      <c r="G74" s="2">
        <v>7028</v>
      </c>
      <c r="H74" s="2" t="str">
        <f>_xlfn.XLOOKUP(E74, Product_Master!A:A, Product_Master!B:B)</f>
        <v>Mobile</v>
      </c>
      <c r="I74" s="2" t="str">
        <f>_xlfn.XLOOKUP(E74, Product_Master!A:A, Product_Master!C:C)</f>
        <v>Electronics</v>
      </c>
      <c r="J74" s="2">
        <f>_xlfn.XLOOKUP(E74, Product_Master!A:A, Product_Master!D:D)</f>
        <v>18000</v>
      </c>
      <c r="K74" s="2">
        <f t="shared" si="4"/>
        <v>105420</v>
      </c>
      <c r="L74" s="2">
        <f t="shared" si="5"/>
        <v>270000</v>
      </c>
      <c r="M74" s="2">
        <f t="shared" si="6"/>
        <v>-164580</v>
      </c>
      <c r="N74" s="2">
        <f>_xlfn.XLOOKUP(D74, Sales_Rep_Master!A:A, Sales_Rep_Master!B:B)</f>
        <v>950000</v>
      </c>
      <c r="O74" s="4">
        <f t="shared" si="7"/>
        <v>0.11096842105263158</v>
      </c>
    </row>
    <row r="75" spans="1:15" ht="15.75" hidden="1" x14ac:dyDescent="0.25">
      <c r="A75" s="3" t="s">
        <v>167</v>
      </c>
      <c r="B75" s="2" t="s">
        <v>168</v>
      </c>
      <c r="C75" s="2" t="s">
        <v>26</v>
      </c>
      <c r="D75" s="2" t="s">
        <v>51</v>
      </c>
      <c r="E75" s="2" t="s">
        <v>23</v>
      </c>
      <c r="F75" s="2">
        <v>5</v>
      </c>
      <c r="G75" s="2">
        <v>7973</v>
      </c>
      <c r="H75" s="2" t="str">
        <f>_xlfn.XLOOKUP(E75, Product_Master!A:A, Product_Master!B:B)</f>
        <v>Sofa</v>
      </c>
      <c r="I75" s="2" t="str">
        <f>_xlfn.XLOOKUP(E75, Product_Master!A:A, Product_Master!C:C)</f>
        <v>Furniture</v>
      </c>
      <c r="J75" s="2">
        <f>_xlfn.XLOOKUP(E75, Product_Master!A:A, Product_Master!D:D)</f>
        <v>15000</v>
      </c>
      <c r="K75" s="2">
        <f t="shared" si="4"/>
        <v>39865</v>
      </c>
      <c r="L75" s="2">
        <f t="shared" si="5"/>
        <v>75000</v>
      </c>
      <c r="M75" s="2">
        <f t="shared" si="6"/>
        <v>-35135</v>
      </c>
      <c r="N75" s="2">
        <f>_xlfn.XLOOKUP(D75, Sales_Rep_Master!A:A, Sales_Rep_Master!B:B)</f>
        <v>900000</v>
      </c>
      <c r="O75" s="4">
        <f t="shared" si="7"/>
        <v>4.4294444444444442E-2</v>
      </c>
    </row>
    <row r="76" spans="1:15" ht="15.75" hidden="1" x14ac:dyDescent="0.25">
      <c r="A76" s="3" t="s">
        <v>169</v>
      </c>
      <c r="B76" s="2" t="s">
        <v>139</v>
      </c>
      <c r="C76" s="2" t="s">
        <v>26</v>
      </c>
      <c r="D76" s="2" t="s">
        <v>37</v>
      </c>
      <c r="E76" s="2" t="s">
        <v>61</v>
      </c>
      <c r="F76" s="2">
        <v>7</v>
      </c>
      <c r="G76" s="2">
        <v>6896</v>
      </c>
      <c r="H76" s="2" t="str">
        <f>_xlfn.XLOOKUP(E76, Product_Master!A:A, Product_Master!B:B)</f>
        <v>Shoes</v>
      </c>
      <c r="I76" s="2" t="str">
        <f>_xlfn.XLOOKUP(E76, Product_Master!A:A, Product_Master!C:C)</f>
        <v>Clothing</v>
      </c>
      <c r="J76" s="2">
        <f>_xlfn.XLOOKUP(E76, Product_Master!A:A, Product_Master!D:D)</f>
        <v>2000</v>
      </c>
      <c r="K76" s="2">
        <f t="shared" si="4"/>
        <v>48272</v>
      </c>
      <c r="L76" s="2">
        <f t="shared" si="5"/>
        <v>14000</v>
      </c>
      <c r="M76" s="2">
        <f t="shared" si="6"/>
        <v>34272</v>
      </c>
      <c r="N76" s="2">
        <f>_xlfn.XLOOKUP(D76, Sales_Rep_Master!A:A, Sales_Rep_Master!B:B)</f>
        <v>850000</v>
      </c>
      <c r="O76" s="4">
        <f t="shared" si="7"/>
        <v>5.679058823529412E-2</v>
      </c>
    </row>
    <row r="77" spans="1:15" ht="15.75" hidden="1" x14ac:dyDescent="0.25">
      <c r="A77" s="3" t="s">
        <v>170</v>
      </c>
      <c r="B77" s="2" t="s">
        <v>171</v>
      </c>
      <c r="C77" s="2" t="s">
        <v>9</v>
      </c>
      <c r="D77" s="2" t="s">
        <v>19</v>
      </c>
      <c r="E77" s="2" t="s">
        <v>34</v>
      </c>
      <c r="F77" s="2">
        <v>4</v>
      </c>
      <c r="G77" s="2">
        <v>7123</v>
      </c>
      <c r="H77" s="2" t="str">
        <f>_xlfn.XLOOKUP(E77, Product_Master!A:A, Product_Master!B:B)</f>
        <v>Jacket</v>
      </c>
      <c r="I77" s="2" t="str">
        <f>_xlfn.XLOOKUP(E77, Product_Master!A:A, Product_Master!C:C)</f>
        <v>Clothing</v>
      </c>
      <c r="J77" s="2">
        <f>_xlfn.XLOOKUP(E77, Product_Master!A:A, Product_Master!D:D)</f>
        <v>1500</v>
      </c>
      <c r="K77" s="2">
        <f t="shared" si="4"/>
        <v>28492</v>
      </c>
      <c r="L77" s="2">
        <f t="shared" si="5"/>
        <v>6000</v>
      </c>
      <c r="M77" s="2">
        <f t="shared" si="6"/>
        <v>22492</v>
      </c>
      <c r="N77" s="2">
        <f>_xlfn.XLOOKUP(D77, Sales_Rep_Master!A:A, Sales_Rep_Master!B:B)</f>
        <v>950000</v>
      </c>
      <c r="O77" s="4">
        <f t="shared" si="7"/>
        <v>2.9991578947368421E-2</v>
      </c>
    </row>
    <row r="78" spans="1:15" ht="15.75" hidden="1" x14ac:dyDescent="0.25">
      <c r="A78" s="3" t="s">
        <v>172</v>
      </c>
      <c r="B78" s="2" t="s">
        <v>173</v>
      </c>
      <c r="C78" s="2" t="s">
        <v>9</v>
      </c>
      <c r="D78" s="2" t="s">
        <v>37</v>
      </c>
      <c r="E78" s="2" t="s">
        <v>15</v>
      </c>
      <c r="F78" s="2">
        <v>11</v>
      </c>
      <c r="G78" s="2">
        <v>1887</v>
      </c>
      <c r="H78" s="2" t="str">
        <f>_xlfn.XLOOKUP(E78, Product_Master!A:A, Product_Master!B:B)</f>
        <v>Chair</v>
      </c>
      <c r="I78" s="2" t="str">
        <f>_xlfn.XLOOKUP(E78, Product_Master!A:A, Product_Master!C:C)</f>
        <v>Furniture</v>
      </c>
      <c r="J78" s="2">
        <f>_xlfn.XLOOKUP(E78, Product_Master!A:A, Product_Master!D:D)</f>
        <v>2500</v>
      </c>
      <c r="K78" s="2">
        <f t="shared" si="4"/>
        <v>20757</v>
      </c>
      <c r="L78" s="2">
        <f t="shared" si="5"/>
        <v>27500</v>
      </c>
      <c r="M78" s="2">
        <f t="shared" si="6"/>
        <v>-6743</v>
      </c>
      <c r="N78" s="2">
        <f>_xlfn.XLOOKUP(D78, Sales_Rep_Master!A:A, Sales_Rep_Master!B:B)</f>
        <v>850000</v>
      </c>
      <c r="O78" s="4">
        <f t="shared" si="7"/>
        <v>2.4420000000000001E-2</v>
      </c>
    </row>
    <row r="79" spans="1:15" ht="15.75" hidden="1" x14ac:dyDescent="0.25">
      <c r="A79" s="3" t="s">
        <v>174</v>
      </c>
      <c r="B79" s="2" t="s">
        <v>175</v>
      </c>
      <c r="C79" s="2" t="s">
        <v>26</v>
      </c>
      <c r="D79" s="2" t="s">
        <v>37</v>
      </c>
      <c r="E79" s="2" t="s">
        <v>34</v>
      </c>
      <c r="F79" s="2">
        <v>3</v>
      </c>
      <c r="G79" s="2">
        <v>6566</v>
      </c>
      <c r="H79" s="2" t="str">
        <f>_xlfn.XLOOKUP(E79, Product_Master!A:A, Product_Master!B:B)</f>
        <v>Jacket</v>
      </c>
      <c r="I79" s="2" t="str">
        <f>_xlfn.XLOOKUP(E79, Product_Master!A:A, Product_Master!C:C)</f>
        <v>Clothing</v>
      </c>
      <c r="J79" s="2">
        <f>_xlfn.XLOOKUP(E79, Product_Master!A:A, Product_Master!D:D)</f>
        <v>1500</v>
      </c>
      <c r="K79" s="2">
        <f t="shared" si="4"/>
        <v>19698</v>
      </c>
      <c r="L79" s="2">
        <f t="shared" si="5"/>
        <v>4500</v>
      </c>
      <c r="M79" s="2">
        <f t="shared" si="6"/>
        <v>15198</v>
      </c>
      <c r="N79" s="2">
        <f>_xlfn.XLOOKUP(D79, Sales_Rep_Master!A:A, Sales_Rep_Master!B:B)</f>
        <v>850000</v>
      </c>
      <c r="O79" s="4">
        <f t="shared" si="7"/>
        <v>2.3174117647058824E-2</v>
      </c>
    </row>
    <row r="80" spans="1:15" ht="15.75" hidden="1" x14ac:dyDescent="0.25">
      <c r="A80" s="3" t="s">
        <v>176</v>
      </c>
      <c r="B80" s="2" t="s">
        <v>17</v>
      </c>
      <c r="C80" s="2" t="s">
        <v>18</v>
      </c>
      <c r="D80" s="2" t="s">
        <v>27</v>
      </c>
      <c r="E80" s="2" t="s">
        <v>15</v>
      </c>
      <c r="F80" s="2">
        <v>6</v>
      </c>
      <c r="G80" s="2">
        <v>6007</v>
      </c>
      <c r="H80" s="2" t="str">
        <f>_xlfn.XLOOKUP(E80, Product_Master!A:A, Product_Master!B:B)</f>
        <v>Chair</v>
      </c>
      <c r="I80" s="2" t="str">
        <f>_xlfn.XLOOKUP(E80, Product_Master!A:A, Product_Master!C:C)</f>
        <v>Furniture</v>
      </c>
      <c r="J80" s="2">
        <f>_xlfn.XLOOKUP(E80, Product_Master!A:A, Product_Master!D:D)</f>
        <v>2500</v>
      </c>
      <c r="K80" s="2">
        <f t="shared" si="4"/>
        <v>36042</v>
      </c>
      <c r="L80" s="2">
        <f t="shared" si="5"/>
        <v>15000</v>
      </c>
      <c r="M80" s="2">
        <f t="shared" si="6"/>
        <v>21042</v>
      </c>
      <c r="N80" s="2">
        <f>_xlfn.XLOOKUP(D80, Sales_Rep_Master!A:A, Sales_Rep_Master!B:B)</f>
        <v>800000</v>
      </c>
      <c r="O80" s="4">
        <f t="shared" si="7"/>
        <v>4.5052500000000002E-2</v>
      </c>
    </row>
    <row r="81" spans="1:15" ht="15.75" hidden="1" x14ac:dyDescent="0.25">
      <c r="A81" s="3" t="s">
        <v>177</v>
      </c>
      <c r="B81" s="2" t="s">
        <v>178</v>
      </c>
      <c r="C81" s="2" t="s">
        <v>26</v>
      </c>
      <c r="D81" s="2" t="s">
        <v>19</v>
      </c>
      <c r="E81" s="2" t="s">
        <v>15</v>
      </c>
      <c r="F81" s="2">
        <v>10</v>
      </c>
      <c r="G81" s="2">
        <v>1527</v>
      </c>
      <c r="H81" s="2" t="str">
        <f>_xlfn.XLOOKUP(E81, Product_Master!A:A, Product_Master!B:B)</f>
        <v>Chair</v>
      </c>
      <c r="I81" s="2" t="str">
        <f>_xlfn.XLOOKUP(E81, Product_Master!A:A, Product_Master!C:C)</f>
        <v>Furniture</v>
      </c>
      <c r="J81" s="2">
        <f>_xlfn.XLOOKUP(E81, Product_Master!A:A, Product_Master!D:D)</f>
        <v>2500</v>
      </c>
      <c r="K81" s="2">
        <f t="shared" si="4"/>
        <v>15270</v>
      </c>
      <c r="L81" s="2">
        <f t="shared" si="5"/>
        <v>25000</v>
      </c>
      <c r="M81" s="2">
        <f t="shared" si="6"/>
        <v>-9730</v>
      </c>
      <c r="N81" s="2">
        <f>_xlfn.XLOOKUP(D81, Sales_Rep_Master!A:A, Sales_Rep_Master!B:B)</f>
        <v>950000</v>
      </c>
      <c r="O81" s="4">
        <f t="shared" si="7"/>
        <v>1.6073684210526316E-2</v>
      </c>
    </row>
    <row r="82" spans="1:15" ht="15.75" hidden="1" x14ac:dyDescent="0.25">
      <c r="A82" s="3" t="s">
        <v>179</v>
      </c>
      <c r="B82" s="2" t="s">
        <v>180</v>
      </c>
      <c r="C82" s="2" t="s">
        <v>26</v>
      </c>
      <c r="D82" s="2" t="s">
        <v>152</v>
      </c>
      <c r="E82" s="2" t="s">
        <v>34</v>
      </c>
      <c r="F82" s="2">
        <v>1</v>
      </c>
      <c r="G82" s="2">
        <v>2868</v>
      </c>
      <c r="H82" s="2" t="str">
        <f>_xlfn.XLOOKUP(E82, Product_Master!A:A, Product_Master!B:B)</f>
        <v>Jacket</v>
      </c>
      <c r="I82" s="2" t="str">
        <f>_xlfn.XLOOKUP(E82, Product_Master!A:A, Product_Master!C:C)</f>
        <v>Clothing</v>
      </c>
      <c r="J82" s="2">
        <f>_xlfn.XLOOKUP(E82, Product_Master!A:A, Product_Master!D:D)</f>
        <v>1500</v>
      </c>
      <c r="K82" s="2">
        <f t="shared" si="4"/>
        <v>2868</v>
      </c>
      <c r="L82" s="2">
        <f t="shared" si="5"/>
        <v>1500</v>
      </c>
      <c r="M82" s="2">
        <f t="shared" si="6"/>
        <v>1368</v>
      </c>
      <c r="N82" s="2">
        <f>_xlfn.XLOOKUP(D82, Sales_Rep_Master!A:A, Sales_Rep_Master!B:B)</f>
        <v>870000</v>
      </c>
      <c r="O82" s="4">
        <f t="shared" si="7"/>
        <v>3.296551724137931E-3</v>
      </c>
    </row>
    <row r="83" spans="1:15" ht="15.75" hidden="1" x14ac:dyDescent="0.25">
      <c r="A83" s="3" t="s">
        <v>181</v>
      </c>
      <c r="B83" s="2" t="s">
        <v>182</v>
      </c>
      <c r="C83" s="2" t="s">
        <v>18</v>
      </c>
      <c r="D83" s="2" t="s">
        <v>27</v>
      </c>
      <c r="E83" s="2" t="s">
        <v>61</v>
      </c>
      <c r="F83" s="2">
        <v>12</v>
      </c>
      <c r="G83" s="2">
        <v>3740</v>
      </c>
      <c r="H83" s="2" t="str">
        <f>_xlfn.XLOOKUP(E83, Product_Master!A:A, Product_Master!B:B)</f>
        <v>Shoes</v>
      </c>
      <c r="I83" s="2" t="str">
        <f>_xlfn.XLOOKUP(E83, Product_Master!A:A, Product_Master!C:C)</f>
        <v>Clothing</v>
      </c>
      <c r="J83" s="2">
        <f>_xlfn.XLOOKUP(E83, Product_Master!A:A, Product_Master!D:D)</f>
        <v>2000</v>
      </c>
      <c r="K83" s="2">
        <f t="shared" si="4"/>
        <v>44880</v>
      </c>
      <c r="L83" s="2">
        <f t="shared" si="5"/>
        <v>24000</v>
      </c>
      <c r="M83" s="2">
        <f t="shared" si="6"/>
        <v>20880</v>
      </c>
      <c r="N83" s="2">
        <f>_xlfn.XLOOKUP(D83, Sales_Rep_Master!A:A, Sales_Rep_Master!B:B)</f>
        <v>800000</v>
      </c>
      <c r="O83" s="4">
        <f t="shared" si="7"/>
        <v>5.6099999999999997E-2</v>
      </c>
    </row>
    <row r="84" spans="1:15" ht="15.75" hidden="1" x14ac:dyDescent="0.25">
      <c r="A84" s="3" t="s">
        <v>183</v>
      </c>
      <c r="B84" s="2" t="s">
        <v>184</v>
      </c>
      <c r="C84" s="2" t="s">
        <v>26</v>
      </c>
      <c r="D84" s="2" t="s">
        <v>54</v>
      </c>
      <c r="E84" s="2" t="s">
        <v>15</v>
      </c>
      <c r="F84" s="2">
        <v>5</v>
      </c>
      <c r="G84" s="2">
        <v>5433</v>
      </c>
      <c r="H84" s="2" t="str">
        <f>_xlfn.XLOOKUP(E84, Product_Master!A:A, Product_Master!B:B)</f>
        <v>Chair</v>
      </c>
      <c r="I84" s="2" t="str">
        <f>_xlfn.XLOOKUP(E84, Product_Master!A:A, Product_Master!C:C)</f>
        <v>Furniture</v>
      </c>
      <c r="J84" s="2">
        <f>_xlfn.XLOOKUP(E84, Product_Master!A:A, Product_Master!D:D)</f>
        <v>2500</v>
      </c>
      <c r="K84" s="2">
        <f t="shared" si="4"/>
        <v>27165</v>
      </c>
      <c r="L84" s="2">
        <f t="shared" si="5"/>
        <v>12500</v>
      </c>
      <c r="M84" s="2">
        <f t="shared" si="6"/>
        <v>14665</v>
      </c>
      <c r="N84" s="2">
        <f>_xlfn.XLOOKUP(D84, Sales_Rep_Master!A:A, Sales_Rep_Master!B:B)</f>
        <v>890000</v>
      </c>
      <c r="O84" s="4">
        <f t="shared" si="7"/>
        <v>3.0522471910112359E-2</v>
      </c>
    </row>
    <row r="85" spans="1:15" ht="15.75" x14ac:dyDescent="0.25">
      <c r="A85" s="3" t="s">
        <v>185</v>
      </c>
      <c r="B85" s="2" t="s">
        <v>25</v>
      </c>
      <c r="C85" s="2" t="s">
        <v>18</v>
      </c>
      <c r="D85" s="2" t="s">
        <v>51</v>
      </c>
      <c r="E85" s="2" t="s">
        <v>11</v>
      </c>
      <c r="F85" s="2">
        <v>12</v>
      </c>
      <c r="G85" s="2">
        <v>3844</v>
      </c>
      <c r="H85" s="2" t="str">
        <f>_xlfn.XLOOKUP(E85, Product_Master!A:A, Product_Master!B:B)</f>
        <v>Mobile</v>
      </c>
      <c r="I85" s="2" t="str">
        <f>_xlfn.XLOOKUP(E85, Product_Master!A:A, Product_Master!C:C)</f>
        <v>Electronics</v>
      </c>
      <c r="J85" s="2">
        <f>_xlfn.XLOOKUP(E85, Product_Master!A:A, Product_Master!D:D)</f>
        <v>18000</v>
      </c>
      <c r="K85" s="2">
        <f t="shared" si="4"/>
        <v>46128</v>
      </c>
      <c r="L85" s="2">
        <f t="shared" si="5"/>
        <v>216000</v>
      </c>
      <c r="M85" s="2">
        <f t="shared" si="6"/>
        <v>-169872</v>
      </c>
      <c r="N85" s="2">
        <f>_xlfn.XLOOKUP(D85, Sales_Rep_Master!A:A, Sales_Rep_Master!B:B)</f>
        <v>900000</v>
      </c>
      <c r="O85" s="4">
        <f t="shared" si="7"/>
        <v>5.1253333333333331E-2</v>
      </c>
    </row>
    <row r="86" spans="1:15" ht="15.75" x14ac:dyDescent="0.25">
      <c r="A86" s="3" t="s">
        <v>186</v>
      </c>
      <c r="B86" s="2" t="s">
        <v>187</v>
      </c>
      <c r="C86" s="2" t="s">
        <v>9</v>
      </c>
      <c r="D86" s="2" t="s">
        <v>19</v>
      </c>
      <c r="E86" s="2" t="s">
        <v>20</v>
      </c>
      <c r="F86" s="2">
        <v>1</v>
      </c>
      <c r="G86" s="2">
        <v>2521</v>
      </c>
      <c r="H86" s="2" t="str">
        <f>_xlfn.XLOOKUP(E86, Product_Master!A:A, Product_Master!B:B)</f>
        <v>Headphones</v>
      </c>
      <c r="I86" s="2" t="str">
        <f>_xlfn.XLOOKUP(E86, Product_Master!A:A, Product_Master!C:C)</f>
        <v>Electronics</v>
      </c>
      <c r="J86" s="2">
        <f>_xlfn.XLOOKUP(E86, Product_Master!A:A, Product_Master!D:D)</f>
        <v>2000</v>
      </c>
      <c r="K86" s="2">
        <f t="shared" si="4"/>
        <v>2521</v>
      </c>
      <c r="L86" s="2">
        <f t="shared" si="5"/>
        <v>2000</v>
      </c>
      <c r="M86" s="2">
        <f t="shared" si="6"/>
        <v>521</v>
      </c>
      <c r="N86" s="2">
        <f>_xlfn.XLOOKUP(D86, Sales_Rep_Master!A:A, Sales_Rep_Master!B:B)</f>
        <v>950000</v>
      </c>
      <c r="O86" s="4">
        <f t="shared" si="7"/>
        <v>2.6536842105263159E-3</v>
      </c>
    </row>
    <row r="87" spans="1:15" ht="15.75" hidden="1" x14ac:dyDescent="0.25">
      <c r="A87" s="3" t="s">
        <v>188</v>
      </c>
      <c r="B87" s="2" t="s">
        <v>189</v>
      </c>
      <c r="C87" s="2" t="s">
        <v>9</v>
      </c>
      <c r="D87" s="2" t="s">
        <v>27</v>
      </c>
      <c r="E87" s="2" t="s">
        <v>34</v>
      </c>
      <c r="F87" s="2">
        <v>8</v>
      </c>
      <c r="G87" s="2">
        <v>7545</v>
      </c>
      <c r="H87" s="2" t="str">
        <f>_xlfn.XLOOKUP(E87, Product_Master!A:A, Product_Master!B:B)</f>
        <v>Jacket</v>
      </c>
      <c r="I87" s="2" t="str">
        <f>_xlfn.XLOOKUP(E87, Product_Master!A:A, Product_Master!C:C)</f>
        <v>Clothing</v>
      </c>
      <c r="J87" s="2">
        <f>_xlfn.XLOOKUP(E87, Product_Master!A:A, Product_Master!D:D)</f>
        <v>1500</v>
      </c>
      <c r="K87" s="2">
        <f t="shared" si="4"/>
        <v>60360</v>
      </c>
      <c r="L87" s="2">
        <f t="shared" si="5"/>
        <v>12000</v>
      </c>
      <c r="M87" s="2">
        <f t="shared" si="6"/>
        <v>48360</v>
      </c>
      <c r="N87" s="2">
        <f>_xlfn.XLOOKUP(D87, Sales_Rep_Master!A:A, Sales_Rep_Master!B:B)</f>
        <v>800000</v>
      </c>
      <c r="O87" s="4">
        <f t="shared" si="7"/>
        <v>7.5450000000000003E-2</v>
      </c>
    </row>
    <row r="88" spans="1:15" ht="15.75" hidden="1" x14ac:dyDescent="0.25">
      <c r="A88" s="3" t="s">
        <v>190</v>
      </c>
      <c r="B88" s="2" t="s">
        <v>191</v>
      </c>
      <c r="C88" s="2" t="s">
        <v>18</v>
      </c>
      <c r="D88" s="2" t="s">
        <v>51</v>
      </c>
      <c r="E88" s="2" t="s">
        <v>40</v>
      </c>
      <c r="F88" s="2">
        <v>11</v>
      </c>
      <c r="G88" s="2">
        <v>1970</v>
      </c>
      <c r="H88" s="2" t="str">
        <f>_xlfn.XLOOKUP(E88, Product_Master!A:A, Product_Master!B:B)</f>
        <v>Table</v>
      </c>
      <c r="I88" s="2" t="str">
        <f>_xlfn.XLOOKUP(E88, Product_Master!A:A, Product_Master!C:C)</f>
        <v>Furniture</v>
      </c>
      <c r="J88" s="2">
        <f>_xlfn.XLOOKUP(E88, Product_Master!A:A, Product_Master!D:D)</f>
        <v>7000</v>
      </c>
      <c r="K88" s="2">
        <f t="shared" si="4"/>
        <v>21670</v>
      </c>
      <c r="L88" s="2">
        <f t="shared" si="5"/>
        <v>77000</v>
      </c>
      <c r="M88" s="2">
        <f t="shared" si="6"/>
        <v>-55330</v>
      </c>
      <c r="N88" s="2">
        <f>_xlfn.XLOOKUP(D88, Sales_Rep_Master!A:A, Sales_Rep_Master!B:B)</f>
        <v>900000</v>
      </c>
      <c r="O88" s="4">
        <f t="shared" si="7"/>
        <v>2.4077777777777778E-2</v>
      </c>
    </row>
    <row r="89" spans="1:15" ht="15.75" hidden="1" x14ac:dyDescent="0.25">
      <c r="A89" s="3" t="s">
        <v>192</v>
      </c>
      <c r="B89" s="2" t="s">
        <v>193</v>
      </c>
      <c r="C89" s="2" t="s">
        <v>18</v>
      </c>
      <c r="D89" s="2" t="s">
        <v>152</v>
      </c>
      <c r="E89" s="2" t="s">
        <v>61</v>
      </c>
      <c r="F89" s="2">
        <v>15</v>
      </c>
      <c r="G89" s="2">
        <v>2745</v>
      </c>
      <c r="H89" s="2" t="str">
        <f>_xlfn.XLOOKUP(E89, Product_Master!A:A, Product_Master!B:B)</f>
        <v>Shoes</v>
      </c>
      <c r="I89" s="2" t="str">
        <f>_xlfn.XLOOKUP(E89, Product_Master!A:A, Product_Master!C:C)</f>
        <v>Clothing</v>
      </c>
      <c r="J89" s="2">
        <f>_xlfn.XLOOKUP(E89, Product_Master!A:A, Product_Master!D:D)</f>
        <v>2000</v>
      </c>
      <c r="K89" s="2">
        <f t="shared" si="4"/>
        <v>41175</v>
      </c>
      <c r="L89" s="2">
        <f t="shared" si="5"/>
        <v>30000</v>
      </c>
      <c r="M89" s="2">
        <f t="shared" si="6"/>
        <v>11175</v>
      </c>
      <c r="N89" s="2">
        <f>_xlfn.XLOOKUP(D89, Sales_Rep_Master!A:A, Sales_Rep_Master!B:B)</f>
        <v>870000</v>
      </c>
      <c r="O89" s="4">
        <f t="shared" si="7"/>
        <v>4.7327586206896553E-2</v>
      </c>
    </row>
    <row r="90" spans="1:15" ht="15.75" hidden="1" x14ac:dyDescent="0.25">
      <c r="A90" s="3" t="s">
        <v>194</v>
      </c>
      <c r="B90" s="2" t="s">
        <v>195</v>
      </c>
      <c r="C90" s="2" t="s">
        <v>33</v>
      </c>
      <c r="D90" s="2" t="s">
        <v>51</v>
      </c>
      <c r="E90" s="2" t="s">
        <v>61</v>
      </c>
      <c r="F90" s="2">
        <v>8</v>
      </c>
      <c r="G90" s="2">
        <v>4460</v>
      </c>
      <c r="H90" s="2" t="str">
        <f>_xlfn.XLOOKUP(E90, Product_Master!A:A, Product_Master!B:B)</f>
        <v>Shoes</v>
      </c>
      <c r="I90" s="2" t="str">
        <f>_xlfn.XLOOKUP(E90, Product_Master!A:A, Product_Master!C:C)</f>
        <v>Clothing</v>
      </c>
      <c r="J90" s="2">
        <f>_xlfn.XLOOKUP(E90, Product_Master!A:A, Product_Master!D:D)</f>
        <v>2000</v>
      </c>
      <c r="K90" s="2">
        <f t="shared" si="4"/>
        <v>35680</v>
      </c>
      <c r="L90" s="2">
        <f t="shared" si="5"/>
        <v>16000</v>
      </c>
      <c r="M90" s="2">
        <f t="shared" si="6"/>
        <v>19680</v>
      </c>
      <c r="N90" s="2">
        <f>_xlfn.XLOOKUP(D90, Sales_Rep_Master!A:A, Sales_Rep_Master!B:B)</f>
        <v>900000</v>
      </c>
      <c r="O90" s="4">
        <f t="shared" si="7"/>
        <v>3.9644444444444447E-2</v>
      </c>
    </row>
    <row r="91" spans="1:15" ht="15.75" hidden="1" x14ac:dyDescent="0.25">
      <c r="A91" s="3" t="s">
        <v>196</v>
      </c>
      <c r="B91" s="2" t="s">
        <v>197</v>
      </c>
      <c r="C91" s="2" t="s">
        <v>26</v>
      </c>
      <c r="D91" s="2" t="s">
        <v>10</v>
      </c>
      <c r="E91" s="2" t="s">
        <v>15</v>
      </c>
      <c r="F91" s="2">
        <v>13</v>
      </c>
      <c r="G91" s="2">
        <v>1118</v>
      </c>
      <c r="H91" s="2" t="str">
        <f>_xlfn.XLOOKUP(E91, Product_Master!A:A, Product_Master!B:B)</f>
        <v>Chair</v>
      </c>
      <c r="I91" s="2" t="str">
        <f>_xlfn.XLOOKUP(E91, Product_Master!A:A, Product_Master!C:C)</f>
        <v>Furniture</v>
      </c>
      <c r="J91" s="2">
        <f>_xlfn.XLOOKUP(E91, Product_Master!A:A, Product_Master!D:D)</f>
        <v>2500</v>
      </c>
      <c r="K91" s="2">
        <f t="shared" si="4"/>
        <v>14534</v>
      </c>
      <c r="L91" s="2">
        <f t="shared" si="5"/>
        <v>32500</v>
      </c>
      <c r="M91" s="2">
        <f t="shared" si="6"/>
        <v>-17966</v>
      </c>
      <c r="N91" s="2">
        <f>_xlfn.XLOOKUP(D91, Sales_Rep_Master!A:A, Sales_Rep_Master!B:B)</f>
        <v>920000</v>
      </c>
      <c r="O91" s="4">
        <f t="shared" si="7"/>
        <v>1.5797826086956523E-2</v>
      </c>
    </row>
    <row r="92" spans="1:15" ht="15.75" x14ac:dyDescent="0.25">
      <c r="A92" s="3" t="s">
        <v>198</v>
      </c>
      <c r="B92" s="2" t="s">
        <v>199</v>
      </c>
      <c r="C92" s="2" t="s">
        <v>26</v>
      </c>
      <c r="D92" s="2" t="s">
        <v>19</v>
      </c>
      <c r="E92" s="2" t="s">
        <v>20</v>
      </c>
      <c r="F92" s="2">
        <v>5</v>
      </c>
      <c r="G92" s="2">
        <v>2120</v>
      </c>
      <c r="H92" s="2" t="str">
        <f>_xlfn.XLOOKUP(E92, Product_Master!A:A, Product_Master!B:B)</f>
        <v>Headphones</v>
      </c>
      <c r="I92" s="2" t="str">
        <f>_xlfn.XLOOKUP(E92, Product_Master!A:A, Product_Master!C:C)</f>
        <v>Electronics</v>
      </c>
      <c r="J92" s="2">
        <f>_xlfn.XLOOKUP(E92, Product_Master!A:A, Product_Master!D:D)</f>
        <v>2000</v>
      </c>
      <c r="K92" s="2">
        <f t="shared" si="4"/>
        <v>10600</v>
      </c>
      <c r="L92" s="2">
        <f t="shared" si="5"/>
        <v>10000</v>
      </c>
      <c r="M92" s="2">
        <f t="shared" si="6"/>
        <v>600</v>
      </c>
      <c r="N92" s="2">
        <f>_xlfn.XLOOKUP(D92, Sales_Rep_Master!A:A, Sales_Rep_Master!B:B)</f>
        <v>950000</v>
      </c>
      <c r="O92" s="4">
        <f t="shared" si="7"/>
        <v>1.1157894736842104E-2</v>
      </c>
    </row>
    <row r="93" spans="1:15" ht="15.75" x14ac:dyDescent="0.25">
      <c r="A93" s="3" t="s">
        <v>200</v>
      </c>
      <c r="B93" s="2" t="s">
        <v>201</v>
      </c>
      <c r="C93" s="2" t="s">
        <v>9</v>
      </c>
      <c r="D93" s="2" t="s">
        <v>14</v>
      </c>
      <c r="E93" s="2" t="s">
        <v>20</v>
      </c>
      <c r="F93" s="2">
        <v>8</v>
      </c>
      <c r="G93" s="2">
        <v>6162</v>
      </c>
      <c r="H93" s="2" t="str">
        <f>_xlfn.XLOOKUP(E93, Product_Master!A:A, Product_Master!B:B)</f>
        <v>Headphones</v>
      </c>
      <c r="I93" s="2" t="str">
        <f>_xlfn.XLOOKUP(E93, Product_Master!A:A, Product_Master!C:C)</f>
        <v>Electronics</v>
      </c>
      <c r="J93" s="2">
        <f>_xlfn.XLOOKUP(E93, Product_Master!A:A, Product_Master!D:D)</f>
        <v>2000</v>
      </c>
      <c r="K93" s="2">
        <f t="shared" si="4"/>
        <v>49296</v>
      </c>
      <c r="L93" s="2">
        <f t="shared" si="5"/>
        <v>16000</v>
      </c>
      <c r="M93" s="2">
        <f t="shared" si="6"/>
        <v>33296</v>
      </c>
      <c r="N93" s="2">
        <f>_xlfn.XLOOKUP(D93, Sales_Rep_Master!A:A, Sales_Rep_Master!B:B)</f>
        <v>880000</v>
      </c>
      <c r="O93" s="4">
        <f t="shared" si="7"/>
        <v>5.6018181818181821E-2</v>
      </c>
    </row>
    <row r="94" spans="1:15" ht="15.75" hidden="1" x14ac:dyDescent="0.25">
      <c r="A94" s="3" t="s">
        <v>202</v>
      </c>
      <c r="B94" s="2" t="s">
        <v>96</v>
      </c>
      <c r="C94" s="2" t="s">
        <v>33</v>
      </c>
      <c r="D94" s="2" t="s">
        <v>54</v>
      </c>
      <c r="E94" s="2" t="s">
        <v>34</v>
      </c>
      <c r="F94" s="2">
        <v>13</v>
      </c>
      <c r="G94" s="2">
        <v>4382</v>
      </c>
      <c r="H94" s="2" t="str">
        <f>_xlfn.XLOOKUP(E94, Product_Master!A:A, Product_Master!B:B)</f>
        <v>Jacket</v>
      </c>
      <c r="I94" s="2" t="str">
        <f>_xlfn.XLOOKUP(E94, Product_Master!A:A, Product_Master!C:C)</f>
        <v>Clothing</v>
      </c>
      <c r="J94" s="2">
        <f>_xlfn.XLOOKUP(E94, Product_Master!A:A, Product_Master!D:D)</f>
        <v>1500</v>
      </c>
      <c r="K94" s="2">
        <f t="shared" si="4"/>
        <v>56966</v>
      </c>
      <c r="L94" s="2">
        <f t="shared" si="5"/>
        <v>19500</v>
      </c>
      <c r="M94" s="2">
        <f t="shared" si="6"/>
        <v>37466</v>
      </c>
      <c r="N94" s="2">
        <f>_xlfn.XLOOKUP(D94, Sales_Rep_Master!A:A, Sales_Rep_Master!B:B)</f>
        <v>890000</v>
      </c>
      <c r="O94" s="4">
        <f t="shared" si="7"/>
        <v>6.400674157303371E-2</v>
      </c>
    </row>
    <row r="95" spans="1:15" ht="15.75" hidden="1" x14ac:dyDescent="0.25">
      <c r="A95" s="3" t="s">
        <v>203</v>
      </c>
      <c r="B95" s="2" t="s">
        <v>204</v>
      </c>
      <c r="C95" s="2" t="s">
        <v>9</v>
      </c>
      <c r="D95" s="2" t="s">
        <v>37</v>
      </c>
      <c r="E95" s="2" t="s">
        <v>34</v>
      </c>
      <c r="F95" s="2">
        <v>12</v>
      </c>
      <c r="G95" s="2">
        <v>7790</v>
      </c>
      <c r="H95" s="2" t="str">
        <f>_xlfn.XLOOKUP(E95, Product_Master!A:A, Product_Master!B:B)</f>
        <v>Jacket</v>
      </c>
      <c r="I95" s="2" t="str">
        <f>_xlfn.XLOOKUP(E95, Product_Master!A:A, Product_Master!C:C)</f>
        <v>Clothing</v>
      </c>
      <c r="J95" s="2">
        <f>_xlfn.XLOOKUP(E95, Product_Master!A:A, Product_Master!D:D)</f>
        <v>1500</v>
      </c>
      <c r="K95" s="2">
        <f t="shared" si="4"/>
        <v>93480</v>
      </c>
      <c r="L95" s="2">
        <f t="shared" si="5"/>
        <v>18000</v>
      </c>
      <c r="M95" s="2">
        <f t="shared" si="6"/>
        <v>75480</v>
      </c>
      <c r="N95" s="2">
        <f>_xlfn.XLOOKUP(D95, Sales_Rep_Master!A:A, Sales_Rep_Master!B:B)</f>
        <v>850000</v>
      </c>
      <c r="O95" s="4">
        <f t="shared" si="7"/>
        <v>0.1099764705882353</v>
      </c>
    </row>
    <row r="96" spans="1:15" ht="15.75" hidden="1" x14ac:dyDescent="0.25">
      <c r="A96" s="3" t="s">
        <v>205</v>
      </c>
      <c r="B96" s="2" t="s">
        <v>147</v>
      </c>
      <c r="C96" s="2" t="s">
        <v>26</v>
      </c>
      <c r="D96" s="2" t="s">
        <v>14</v>
      </c>
      <c r="E96" s="2" t="s">
        <v>23</v>
      </c>
      <c r="F96" s="2">
        <v>4</v>
      </c>
      <c r="G96" s="2">
        <v>6861</v>
      </c>
      <c r="H96" s="2" t="str">
        <f>_xlfn.XLOOKUP(E96, Product_Master!A:A, Product_Master!B:B)</f>
        <v>Sofa</v>
      </c>
      <c r="I96" s="2" t="str">
        <f>_xlfn.XLOOKUP(E96, Product_Master!A:A, Product_Master!C:C)</f>
        <v>Furniture</v>
      </c>
      <c r="J96" s="2">
        <f>_xlfn.XLOOKUP(E96, Product_Master!A:A, Product_Master!D:D)</f>
        <v>15000</v>
      </c>
      <c r="K96" s="2">
        <f t="shared" si="4"/>
        <v>27444</v>
      </c>
      <c r="L96" s="2">
        <f t="shared" si="5"/>
        <v>60000</v>
      </c>
      <c r="M96" s="2">
        <f t="shared" si="6"/>
        <v>-32556</v>
      </c>
      <c r="N96" s="2">
        <f>_xlfn.XLOOKUP(D96, Sales_Rep_Master!A:A, Sales_Rep_Master!B:B)</f>
        <v>880000</v>
      </c>
      <c r="O96" s="4">
        <f t="shared" si="7"/>
        <v>3.1186363636363637E-2</v>
      </c>
    </row>
    <row r="97" spans="1:15" ht="15.75" hidden="1" x14ac:dyDescent="0.25">
      <c r="A97" s="3" t="s">
        <v>206</v>
      </c>
      <c r="B97" s="2" t="s">
        <v>207</v>
      </c>
      <c r="C97" s="2" t="s">
        <v>33</v>
      </c>
      <c r="D97" s="2" t="s">
        <v>51</v>
      </c>
      <c r="E97" s="2" t="s">
        <v>34</v>
      </c>
      <c r="F97" s="2">
        <v>5</v>
      </c>
      <c r="G97" s="2">
        <v>3345</v>
      </c>
      <c r="H97" s="2" t="str">
        <f>_xlfn.XLOOKUP(E97, Product_Master!A:A, Product_Master!B:B)</f>
        <v>Jacket</v>
      </c>
      <c r="I97" s="2" t="str">
        <f>_xlfn.XLOOKUP(E97, Product_Master!A:A, Product_Master!C:C)</f>
        <v>Clothing</v>
      </c>
      <c r="J97" s="2">
        <f>_xlfn.XLOOKUP(E97, Product_Master!A:A, Product_Master!D:D)</f>
        <v>1500</v>
      </c>
      <c r="K97" s="2">
        <f t="shared" si="4"/>
        <v>16725</v>
      </c>
      <c r="L97" s="2">
        <f t="shared" si="5"/>
        <v>7500</v>
      </c>
      <c r="M97" s="2">
        <f t="shared" si="6"/>
        <v>9225</v>
      </c>
      <c r="N97" s="2">
        <f>_xlfn.XLOOKUP(D97, Sales_Rep_Master!A:A, Sales_Rep_Master!B:B)</f>
        <v>900000</v>
      </c>
      <c r="O97" s="4">
        <f t="shared" si="7"/>
        <v>1.8583333333333334E-2</v>
      </c>
    </row>
    <row r="98" spans="1:15" ht="15.75" x14ac:dyDescent="0.25">
      <c r="A98" s="3" t="s">
        <v>208</v>
      </c>
      <c r="B98" s="2" t="s">
        <v>209</v>
      </c>
      <c r="C98" s="2" t="s">
        <v>33</v>
      </c>
      <c r="D98" s="2" t="s">
        <v>10</v>
      </c>
      <c r="E98" s="2" t="s">
        <v>20</v>
      </c>
      <c r="F98" s="2">
        <v>11</v>
      </c>
      <c r="G98" s="2">
        <v>732</v>
      </c>
      <c r="H98" s="2" t="str">
        <f>_xlfn.XLOOKUP(E98, Product_Master!A:A, Product_Master!B:B)</f>
        <v>Headphones</v>
      </c>
      <c r="I98" s="2" t="str">
        <f>_xlfn.XLOOKUP(E98, Product_Master!A:A, Product_Master!C:C)</f>
        <v>Electronics</v>
      </c>
      <c r="J98" s="2">
        <f>_xlfn.XLOOKUP(E98, Product_Master!A:A, Product_Master!D:D)</f>
        <v>2000</v>
      </c>
      <c r="K98" s="2">
        <f t="shared" si="4"/>
        <v>8052</v>
      </c>
      <c r="L98" s="2">
        <f t="shared" si="5"/>
        <v>22000</v>
      </c>
      <c r="M98" s="2">
        <f t="shared" si="6"/>
        <v>-13948</v>
      </c>
      <c r="N98" s="2">
        <f>_xlfn.XLOOKUP(D98, Sales_Rep_Master!A:A, Sales_Rep_Master!B:B)</f>
        <v>920000</v>
      </c>
      <c r="O98" s="4">
        <f t="shared" si="7"/>
        <v>8.7521739130434779E-3</v>
      </c>
    </row>
    <row r="99" spans="1:15" ht="15.75" x14ac:dyDescent="0.25">
      <c r="A99" s="3" t="s">
        <v>210</v>
      </c>
      <c r="B99" s="2" t="s">
        <v>87</v>
      </c>
      <c r="C99" s="2" t="s">
        <v>9</v>
      </c>
      <c r="D99" s="2" t="s">
        <v>19</v>
      </c>
      <c r="E99" s="2" t="s">
        <v>11</v>
      </c>
      <c r="F99" s="2">
        <v>15</v>
      </c>
      <c r="G99" s="2">
        <v>1109</v>
      </c>
      <c r="H99" s="2" t="str">
        <f>_xlfn.XLOOKUP(E99, Product_Master!A:A, Product_Master!B:B)</f>
        <v>Mobile</v>
      </c>
      <c r="I99" s="2" t="str">
        <f>_xlfn.XLOOKUP(E99, Product_Master!A:A, Product_Master!C:C)</f>
        <v>Electronics</v>
      </c>
      <c r="J99" s="2">
        <f>_xlfn.XLOOKUP(E99, Product_Master!A:A, Product_Master!D:D)</f>
        <v>18000</v>
      </c>
      <c r="K99" s="2">
        <f t="shared" si="4"/>
        <v>16635</v>
      </c>
      <c r="L99" s="2">
        <f t="shared" si="5"/>
        <v>270000</v>
      </c>
      <c r="M99" s="2">
        <f t="shared" si="6"/>
        <v>-253365</v>
      </c>
      <c r="N99" s="2">
        <f>_xlfn.XLOOKUP(D99, Sales_Rep_Master!A:A, Sales_Rep_Master!B:B)</f>
        <v>950000</v>
      </c>
      <c r="O99" s="4">
        <f t="shared" si="7"/>
        <v>1.7510526315789473E-2</v>
      </c>
    </row>
    <row r="100" spans="1:15" ht="15.75" hidden="1" x14ac:dyDescent="0.25">
      <c r="A100" s="3" t="s">
        <v>211</v>
      </c>
      <c r="B100" s="2" t="s">
        <v>212</v>
      </c>
      <c r="C100" s="2" t="s">
        <v>9</v>
      </c>
      <c r="D100" s="2" t="s">
        <v>152</v>
      </c>
      <c r="E100" s="2" t="s">
        <v>23</v>
      </c>
      <c r="F100" s="2">
        <v>5</v>
      </c>
      <c r="G100" s="2">
        <v>6977</v>
      </c>
      <c r="H100" s="2" t="str">
        <f>_xlfn.XLOOKUP(E100, Product_Master!A:A, Product_Master!B:B)</f>
        <v>Sofa</v>
      </c>
      <c r="I100" s="2" t="str">
        <f>_xlfn.XLOOKUP(E100, Product_Master!A:A, Product_Master!C:C)</f>
        <v>Furniture</v>
      </c>
      <c r="J100" s="2">
        <f>_xlfn.XLOOKUP(E100, Product_Master!A:A, Product_Master!D:D)</f>
        <v>15000</v>
      </c>
      <c r="K100" s="2">
        <f t="shared" si="4"/>
        <v>34885</v>
      </c>
      <c r="L100" s="2">
        <f t="shared" si="5"/>
        <v>75000</v>
      </c>
      <c r="M100" s="2">
        <f t="shared" si="6"/>
        <v>-40115</v>
      </c>
      <c r="N100" s="2">
        <f>_xlfn.XLOOKUP(D100, Sales_Rep_Master!A:A, Sales_Rep_Master!B:B)</f>
        <v>870000</v>
      </c>
      <c r="O100" s="4">
        <f t="shared" si="7"/>
        <v>4.0097701149425284E-2</v>
      </c>
    </row>
    <row r="101" spans="1:15" ht="15.75" x14ac:dyDescent="0.25">
      <c r="A101" s="3" t="s">
        <v>213</v>
      </c>
      <c r="B101" s="2" t="s">
        <v>214</v>
      </c>
      <c r="C101" s="2" t="s">
        <v>9</v>
      </c>
      <c r="D101" s="2" t="s">
        <v>37</v>
      </c>
      <c r="E101" s="2" t="s">
        <v>20</v>
      </c>
      <c r="F101" s="2">
        <v>2</v>
      </c>
      <c r="G101" s="2">
        <v>1188</v>
      </c>
      <c r="H101" s="2" t="str">
        <f>_xlfn.XLOOKUP(E101, Product_Master!A:A, Product_Master!B:B)</f>
        <v>Headphones</v>
      </c>
      <c r="I101" s="2" t="str">
        <f>_xlfn.XLOOKUP(E101, Product_Master!A:A, Product_Master!C:C)</f>
        <v>Electronics</v>
      </c>
      <c r="J101" s="2">
        <f>_xlfn.XLOOKUP(E101, Product_Master!A:A, Product_Master!D:D)</f>
        <v>2000</v>
      </c>
      <c r="K101" s="2">
        <f t="shared" si="4"/>
        <v>2376</v>
      </c>
      <c r="L101" s="2">
        <f t="shared" si="5"/>
        <v>4000</v>
      </c>
      <c r="M101" s="2">
        <f t="shared" si="6"/>
        <v>-1624</v>
      </c>
      <c r="N101" s="2">
        <f>_xlfn.XLOOKUP(D101, Sales_Rep_Master!A:A, Sales_Rep_Master!B:B)</f>
        <v>850000</v>
      </c>
      <c r="O101" s="4">
        <f t="shared" si="7"/>
        <v>2.795294117647059E-3</v>
      </c>
    </row>
    <row r="102" spans="1:15" ht="15.75" hidden="1" x14ac:dyDescent="0.25">
      <c r="A102" s="3" t="s">
        <v>215</v>
      </c>
      <c r="B102" s="2" t="s">
        <v>216</v>
      </c>
      <c r="C102" s="2" t="s">
        <v>26</v>
      </c>
      <c r="D102" s="2" t="s">
        <v>37</v>
      </c>
      <c r="E102" s="2" t="s">
        <v>23</v>
      </c>
      <c r="F102" s="2">
        <v>7</v>
      </c>
      <c r="G102" s="2">
        <v>7167</v>
      </c>
      <c r="H102" s="2" t="str">
        <f>_xlfn.XLOOKUP(E102, Product_Master!A:A, Product_Master!B:B)</f>
        <v>Sofa</v>
      </c>
      <c r="I102" s="2" t="str">
        <f>_xlfn.XLOOKUP(E102, Product_Master!A:A, Product_Master!C:C)</f>
        <v>Furniture</v>
      </c>
      <c r="J102" s="2">
        <f>_xlfn.XLOOKUP(E102, Product_Master!A:A, Product_Master!D:D)</f>
        <v>15000</v>
      </c>
      <c r="K102" s="2">
        <f t="shared" si="4"/>
        <v>50169</v>
      </c>
      <c r="L102" s="2">
        <f t="shared" si="5"/>
        <v>105000</v>
      </c>
      <c r="M102" s="2">
        <f t="shared" si="6"/>
        <v>-54831</v>
      </c>
      <c r="N102" s="2">
        <f>_xlfn.XLOOKUP(D102, Sales_Rep_Master!A:A, Sales_Rep_Master!B:B)</f>
        <v>850000</v>
      </c>
      <c r="O102" s="4">
        <f t="shared" si="7"/>
        <v>5.902235294117647E-2</v>
      </c>
    </row>
    <row r="103" spans="1:15" ht="15.75" x14ac:dyDescent="0.25">
      <c r="A103" s="3" t="s">
        <v>217</v>
      </c>
      <c r="B103" s="2" t="s">
        <v>218</v>
      </c>
      <c r="C103" s="2" t="s">
        <v>9</v>
      </c>
      <c r="D103" s="2" t="s">
        <v>54</v>
      </c>
      <c r="E103" s="2" t="s">
        <v>11</v>
      </c>
      <c r="F103" s="2">
        <v>15</v>
      </c>
      <c r="G103" s="2">
        <v>1650</v>
      </c>
      <c r="H103" s="2" t="str">
        <f>_xlfn.XLOOKUP(E103, Product_Master!A:A, Product_Master!B:B)</f>
        <v>Mobile</v>
      </c>
      <c r="I103" s="2" t="str">
        <f>_xlfn.XLOOKUP(E103, Product_Master!A:A, Product_Master!C:C)</f>
        <v>Electronics</v>
      </c>
      <c r="J103" s="2">
        <f>_xlfn.XLOOKUP(E103, Product_Master!A:A, Product_Master!D:D)</f>
        <v>18000</v>
      </c>
      <c r="K103" s="2">
        <f t="shared" si="4"/>
        <v>24750</v>
      </c>
      <c r="L103" s="2">
        <f t="shared" si="5"/>
        <v>270000</v>
      </c>
      <c r="M103" s="2">
        <f t="shared" si="6"/>
        <v>-245250</v>
      </c>
      <c r="N103" s="2">
        <f>_xlfn.XLOOKUP(D103, Sales_Rep_Master!A:A, Sales_Rep_Master!B:B)</f>
        <v>890000</v>
      </c>
      <c r="O103" s="4">
        <f t="shared" si="7"/>
        <v>2.7808988764044945E-2</v>
      </c>
    </row>
    <row r="104" spans="1:15" ht="15.75" hidden="1" x14ac:dyDescent="0.25">
      <c r="A104" s="3" t="s">
        <v>219</v>
      </c>
      <c r="B104" s="2" t="s">
        <v>220</v>
      </c>
      <c r="C104" s="2" t="s">
        <v>33</v>
      </c>
      <c r="D104" s="2" t="s">
        <v>10</v>
      </c>
      <c r="E104" s="2" t="s">
        <v>15</v>
      </c>
      <c r="F104" s="2">
        <v>12</v>
      </c>
      <c r="G104" s="2">
        <v>6249</v>
      </c>
      <c r="H104" s="2" t="str">
        <f>_xlfn.XLOOKUP(E104, Product_Master!A:A, Product_Master!B:B)</f>
        <v>Chair</v>
      </c>
      <c r="I104" s="2" t="str">
        <f>_xlfn.XLOOKUP(E104, Product_Master!A:A, Product_Master!C:C)</f>
        <v>Furniture</v>
      </c>
      <c r="J104" s="2">
        <f>_xlfn.XLOOKUP(E104, Product_Master!A:A, Product_Master!D:D)</f>
        <v>2500</v>
      </c>
      <c r="K104" s="2">
        <f t="shared" si="4"/>
        <v>74988</v>
      </c>
      <c r="L104" s="2">
        <f t="shared" si="5"/>
        <v>30000</v>
      </c>
      <c r="M104" s="2">
        <f t="shared" si="6"/>
        <v>44988</v>
      </c>
      <c r="N104" s="2">
        <f>_xlfn.XLOOKUP(D104, Sales_Rep_Master!A:A, Sales_Rep_Master!B:B)</f>
        <v>920000</v>
      </c>
      <c r="O104" s="4">
        <f t="shared" si="7"/>
        <v>8.1508695652173918E-2</v>
      </c>
    </row>
    <row r="105" spans="1:15" ht="15.75" hidden="1" x14ac:dyDescent="0.25">
      <c r="A105" s="3" t="s">
        <v>221</v>
      </c>
      <c r="B105" s="2" t="s">
        <v>222</v>
      </c>
      <c r="C105" s="2" t="s">
        <v>33</v>
      </c>
      <c r="D105" s="2" t="s">
        <v>10</v>
      </c>
      <c r="E105" s="2" t="s">
        <v>34</v>
      </c>
      <c r="F105" s="2">
        <v>15</v>
      </c>
      <c r="G105" s="2">
        <v>1654</v>
      </c>
      <c r="H105" s="2" t="str">
        <f>_xlfn.XLOOKUP(E105, Product_Master!A:A, Product_Master!B:B)</f>
        <v>Jacket</v>
      </c>
      <c r="I105" s="2" t="str">
        <f>_xlfn.XLOOKUP(E105, Product_Master!A:A, Product_Master!C:C)</f>
        <v>Clothing</v>
      </c>
      <c r="J105" s="2">
        <f>_xlfn.XLOOKUP(E105, Product_Master!A:A, Product_Master!D:D)</f>
        <v>1500</v>
      </c>
      <c r="K105" s="2">
        <f t="shared" si="4"/>
        <v>24810</v>
      </c>
      <c r="L105" s="2">
        <f t="shared" si="5"/>
        <v>22500</v>
      </c>
      <c r="M105" s="2">
        <f t="shared" si="6"/>
        <v>2310</v>
      </c>
      <c r="N105" s="2">
        <f>_xlfn.XLOOKUP(D105, Sales_Rep_Master!A:A, Sales_Rep_Master!B:B)</f>
        <v>920000</v>
      </c>
      <c r="O105" s="4">
        <f t="shared" si="7"/>
        <v>2.6967391304347825E-2</v>
      </c>
    </row>
    <row r="106" spans="1:15" ht="15.75" hidden="1" x14ac:dyDescent="0.25">
      <c r="A106" s="3" t="s">
        <v>223</v>
      </c>
      <c r="B106" s="2" t="s">
        <v>224</v>
      </c>
      <c r="C106" s="2" t="s">
        <v>26</v>
      </c>
      <c r="D106" s="2" t="s">
        <v>37</v>
      </c>
      <c r="E106" s="2" t="s">
        <v>40</v>
      </c>
      <c r="F106" s="2">
        <v>11</v>
      </c>
      <c r="G106" s="2">
        <v>7564</v>
      </c>
      <c r="H106" s="2" t="str">
        <f>_xlfn.XLOOKUP(E106, Product_Master!A:A, Product_Master!B:B)</f>
        <v>Table</v>
      </c>
      <c r="I106" s="2" t="str">
        <f>_xlfn.XLOOKUP(E106, Product_Master!A:A, Product_Master!C:C)</f>
        <v>Furniture</v>
      </c>
      <c r="J106" s="2">
        <f>_xlfn.XLOOKUP(E106, Product_Master!A:A, Product_Master!D:D)</f>
        <v>7000</v>
      </c>
      <c r="K106" s="2">
        <f t="shared" si="4"/>
        <v>83204</v>
      </c>
      <c r="L106" s="2">
        <f t="shared" si="5"/>
        <v>77000</v>
      </c>
      <c r="M106" s="2">
        <f t="shared" si="6"/>
        <v>6204</v>
      </c>
      <c r="N106" s="2">
        <f>_xlfn.XLOOKUP(D106, Sales_Rep_Master!A:A, Sales_Rep_Master!B:B)</f>
        <v>850000</v>
      </c>
      <c r="O106" s="4">
        <f t="shared" si="7"/>
        <v>9.788705882352941E-2</v>
      </c>
    </row>
    <row r="107" spans="1:15" ht="15.75" hidden="1" x14ac:dyDescent="0.25">
      <c r="A107" s="3" t="s">
        <v>225</v>
      </c>
      <c r="B107" s="2" t="s">
        <v>226</v>
      </c>
      <c r="C107" s="2" t="s">
        <v>33</v>
      </c>
      <c r="D107" s="2" t="s">
        <v>152</v>
      </c>
      <c r="E107" s="2" t="s">
        <v>23</v>
      </c>
      <c r="F107" s="2">
        <v>11</v>
      </c>
      <c r="G107" s="2">
        <v>2176</v>
      </c>
      <c r="H107" s="2" t="str">
        <f>_xlfn.XLOOKUP(E107, Product_Master!A:A, Product_Master!B:B)</f>
        <v>Sofa</v>
      </c>
      <c r="I107" s="2" t="str">
        <f>_xlfn.XLOOKUP(E107, Product_Master!A:A, Product_Master!C:C)</f>
        <v>Furniture</v>
      </c>
      <c r="J107" s="2">
        <f>_xlfn.XLOOKUP(E107, Product_Master!A:A, Product_Master!D:D)</f>
        <v>15000</v>
      </c>
      <c r="K107" s="2">
        <f t="shared" si="4"/>
        <v>23936</v>
      </c>
      <c r="L107" s="2">
        <f t="shared" si="5"/>
        <v>165000</v>
      </c>
      <c r="M107" s="2">
        <f t="shared" si="6"/>
        <v>-141064</v>
      </c>
      <c r="N107" s="2">
        <f>_xlfn.XLOOKUP(D107, Sales_Rep_Master!A:A, Sales_Rep_Master!B:B)</f>
        <v>870000</v>
      </c>
      <c r="O107" s="4">
        <f t="shared" si="7"/>
        <v>2.751264367816092E-2</v>
      </c>
    </row>
    <row r="108" spans="1:15" ht="15.75" hidden="1" x14ac:dyDescent="0.25">
      <c r="A108" s="3" t="s">
        <v>227</v>
      </c>
      <c r="B108" s="2" t="s">
        <v>228</v>
      </c>
      <c r="C108" s="2" t="s">
        <v>26</v>
      </c>
      <c r="D108" s="2" t="s">
        <v>51</v>
      </c>
      <c r="E108" s="2" t="s">
        <v>23</v>
      </c>
      <c r="F108" s="2">
        <v>6</v>
      </c>
      <c r="G108" s="2">
        <v>7198</v>
      </c>
      <c r="H108" s="2" t="str">
        <f>_xlfn.XLOOKUP(E108, Product_Master!A:A, Product_Master!B:B)</f>
        <v>Sofa</v>
      </c>
      <c r="I108" s="2" t="str">
        <f>_xlfn.XLOOKUP(E108, Product_Master!A:A, Product_Master!C:C)</f>
        <v>Furniture</v>
      </c>
      <c r="J108" s="2">
        <f>_xlfn.XLOOKUP(E108, Product_Master!A:A, Product_Master!D:D)</f>
        <v>15000</v>
      </c>
      <c r="K108" s="2">
        <f t="shared" si="4"/>
        <v>43188</v>
      </c>
      <c r="L108" s="2">
        <f t="shared" si="5"/>
        <v>90000</v>
      </c>
      <c r="M108" s="2">
        <f t="shared" si="6"/>
        <v>-46812</v>
      </c>
      <c r="N108" s="2">
        <f>_xlfn.XLOOKUP(D108, Sales_Rep_Master!A:A, Sales_Rep_Master!B:B)</f>
        <v>900000</v>
      </c>
      <c r="O108" s="4">
        <f t="shared" si="7"/>
        <v>4.7986666666666664E-2</v>
      </c>
    </row>
    <row r="109" spans="1:15" ht="15.75" hidden="1" x14ac:dyDescent="0.25">
      <c r="A109" s="3" t="s">
        <v>229</v>
      </c>
      <c r="B109" s="2" t="s">
        <v>230</v>
      </c>
      <c r="C109" s="2" t="s">
        <v>26</v>
      </c>
      <c r="D109" s="2" t="s">
        <v>27</v>
      </c>
      <c r="E109" s="2" t="s">
        <v>40</v>
      </c>
      <c r="F109" s="2">
        <v>1</v>
      </c>
      <c r="G109" s="2">
        <v>626</v>
      </c>
      <c r="H109" s="2" t="str">
        <f>_xlfn.XLOOKUP(E109, Product_Master!A:A, Product_Master!B:B)</f>
        <v>Table</v>
      </c>
      <c r="I109" s="2" t="str">
        <f>_xlfn.XLOOKUP(E109, Product_Master!A:A, Product_Master!C:C)</f>
        <v>Furniture</v>
      </c>
      <c r="J109" s="2">
        <f>_xlfn.XLOOKUP(E109, Product_Master!A:A, Product_Master!D:D)</f>
        <v>7000</v>
      </c>
      <c r="K109" s="2">
        <f t="shared" si="4"/>
        <v>626</v>
      </c>
      <c r="L109" s="2">
        <f t="shared" si="5"/>
        <v>7000</v>
      </c>
      <c r="M109" s="2">
        <f t="shared" si="6"/>
        <v>-6374</v>
      </c>
      <c r="N109" s="2">
        <f>_xlfn.XLOOKUP(D109, Sales_Rep_Master!A:A, Sales_Rep_Master!B:B)</f>
        <v>800000</v>
      </c>
      <c r="O109" s="4">
        <f t="shared" si="7"/>
        <v>7.8249999999999999E-4</v>
      </c>
    </row>
    <row r="110" spans="1:15" ht="15.75" hidden="1" x14ac:dyDescent="0.25">
      <c r="A110" s="3" t="s">
        <v>231</v>
      </c>
      <c r="B110" s="2" t="s">
        <v>232</v>
      </c>
      <c r="C110" s="2" t="s">
        <v>18</v>
      </c>
      <c r="D110" s="2" t="s">
        <v>10</v>
      </c>
      <c r="E110" s="2" t="s">
        <v>15</v>
      </c>
      <c r="F110" s="2">
        <v>4</v>
      </c>
      <c r="G110" s="2">
        <v>6876</v>
      </c>
      <c r="H110" s="2" t="str">
        <f>_xlfn.XLOOKUP(E110, Product_Master!A:A, Product_Master!B:B)</f>
        <v>Chair</v>
      </c>
      <c r="I110" s="2" t="str">
        <f>_xlfn.XLOOKUP(E110, Product_Master!A:A, Product_Master!C:C)</f>
        <v>Furniture</v>
      </c>
      <c r="J110" s="2">
        <f>_xlfn.XLOOKUP(E110, Product_Master!A:A, Product_Master!D:D)</f>
        <v>2500</v>
      </c>
      <c r="K110" s="2">
        <f t="shared" si="4"/>
        <v>27504</v>
      </c>
      <c r="L110" s="2">
        <f t="shared" si="5"/>
        <v>10000</v>
      </c>
      <c r="M110" s="2">
        <f t="shared" si="6"/>
        <v>17504</v>
      </c>
      <c r="N110" s="2">
        <f>_xlfn.XLOOKUP(D110, Sales_Rep_Master!A:A, Sales_Rep_Master!B:B)</f>
        <v>920000</v>
      </c>
      <c r="O110" s="4">
        <f t="shared" si="7"/>
        <v>2.9895652173913042E-2</v>
      </c>
    </row>
    <row r="111" spans="1:15" ht="15.75" x14ac:dyDescent="0.25">
      <c r="A111" s="3" t="s">
        <v>233</v>
      </c>
      <c r="B111" s="2" t="s">
        <v>234</v>
      </c>
      <c r="C111" s="2" t="s">
        <v>33</v>
      </c>
      <c r="D111" s="2" t="s">
        <v>19</v>
      </c>
      <c r="E111" s="2" t="s">
        <v>20</v>
      </c>
      <c r="F111" s="2">
        <v>13</v>
      </c>
      <c r="G111" s="2">
        <v>2316</v>
      </c>
      <c r="H111" s="2" t="str">
        <f>_xlfn.XLOOKUP(E111, Product_Master!A:A, Product_Master!B:B)</f>
        <v>Headphones</v>
      </c>
      <c r="I111" s="2" t="str">
        <f>_xlfn.XLOOKUP(E111, Product_Master!A:A, Product_Master!C:C)</f>
        <v>Electronics</v>
      </c>
      <c r="J111" s="2">
        <f>_xlfn.XLOOKUP(E111, Product_Master!A:A, Product_Master!D:D)</f>
        <v>2000</v>
      </c>
      <c r="K111" s="2">
        <f t="shared" si="4"/>
        <v>30108</v>
      </c>
      <c r="L111" s="2">
        <f t="shared" si="5"/>
        <v>26000</v>
      </c>
      <c r="M111" s="2">
        <f t="shared" si="6"/>
        <v>4108</v>
      </c>
      <c r="N111" s="2">
        <f>_xlfn.XLOOKUP(D111, Sales_Rep_Master!A:A, Sales_Rep_Master!B:B)</f>
        <v>950000</v>
      </c>
      <c r="O111" s="4">
        <f t="shared" si="7"/>
        <v>3.1692631578947368E-2</v>
      </c>
    </row>
    <row r="112" spans="1:15" ht="15.75" hidden="1" x14ac:dyDescent="0.25">
      <c r="A112" s="3" t="s">
        <v>235</v>
      </c>
      <c r="B112" s="2" t="s">
        <v>236</v>
      </c>
      <c r="C112" s="2" t="s">
        <v>18</v>
      </c>
      <c r="D112" s="2" t="s">
        <v>51</v>
      </c>
      <c r="E112" s="2" t="s">
        <v>15</v>
      </c>
      <c r="F112" s="2">
        <v>1</v>
      </c>
      <c r="G112" s="2">
        <v>4885</v>
      </c>
      <c r="H112" s="2" t="str">
        <f>_xlfn.XLOOKUP(E112, Product_Master!A:A, Product_Master!B:B)</f>
        <v>Chair</v>
      </c>
      <c r="I112" s="2" t="str">
        <f>_xlfn.XLOOKUP(E112, Product_Master!A:A, Product_Master!C:C)</f>
        <v>Furniture</v>
      </c>
      <c r="J112" s="2">
        <f>_xlfn.XLOOKUP(E112, Product_Master!A:A, Product_Master!D:D)</f>
        <v>2500</v>
      </c>
      <c r="K112" s="2">
        <f t="shared" si="4"/>
        <v>4885</v>
      </c>
      <c r="L112" s="2">
        <f t="shared" si="5"/>
        <v>2500</v>
      </c>
      <c r="M112" s="2">
        <f t="shared" si="6"/>
        <v>2385</v>
      </c>
      <c r="N112" s="2">
        <f>_xlfn.XLOOKUP(D112, Sales_Rep_Master!A:A, Sales_Rep_Master!B:B)</f>
        <v>900000</v>
      </c>
      <c r="O112" s="4">
        <f t="shared" si="7"/>
        <v>5.4277777777777779E-3</v>
      </c>
    </row>
    <row r="113" spans="1:15" ht="15.75" hidden="1" x14ac:dyDescent="0.25">
      <c r="A113" s="3" t="s">
        <v>237</v>
      </c>
      <c r="B113" s="2" t="s">
        <v>209</v>
      </c>
      <c r="C113" s="2" t="s">
        <v>33</v>
      </c>
      <c r="D113" s="2" t="s">
        <v>54</v>
      </c>
      <c r="E113" s="2" t="s">
        <v>23</v>
      </c>
      <c r="F113" s="2">
        <v>7</v>
      </c>
      <c r="G113" s="2">
        <v>6883</v>
      </c>
      <c r="H113" s="2" t="str">
        <f>_xlfn.XLOOKUP(E113, Product_Master!A:A, Product_Master!B:B)</f>
        <v>Sofa</v>
      </c>
      <c r="I113" s="2" t="str">
        <f>_xlfn.XLOOKUP(E113, Product_Master!A:A, Product_Master!C:C)</f>
        <v>Furniture</v>
      </c>
      <c r="J113" s="2">
        <f>_xlfn.XLOOKUP(E113, Product_Master!A:A, Product_Master!D:D)</f>
        <v>15000</v>
      </c>
      <c r="K113" s="2">
        <f t="shared" si="4"/>
        <v>48181</v>
      </c>
      <c r="L113" s="2">
        <f t="shared" si="5"/>
        <v>105000</v>
      </c>
      <c r="M113" s="2">
        <f t="shared" si="6"/>
        <v>-56819</v>
      </c>
      <c r="N113" s="2">
        <f>_xlfn.XLOOKUP(D113, Sales_Rep_Master!A:A, Sales_Rep_Master!B:B)</f>
        <v>890000</v>
      </c>
      <c r="O113" s="4">
        <f t="shared" si="7"/>
        <v>5.4135955056179776E-2</v>
      </c>
    </row>
    <row r="114" spans="1:15" ht="15.75" hidden="1" x14ac:dyDescent="0.25">
      <c r="A114" s="3" t="s">
        <v>238</v>
      </c>
      <c r="B114" s="2" t="s">
        <v>239</v>
      </c>
      <c r="C114" s="2" t="s">
        <v>26</v>
      </c>
      <c r="D114" s="2" t="s">
        <v>10</v>
      </c>
      <c r="E114" s="2" t="s">
        <v>34</v>
      </c>
      <c r="F114" s="2">
        <v>7</v>
      </c>
      <c r="G114" s="2">
        <v>5528</v>
      </c>
      <c r="H114" s="2" t="str">
        <f>_xlfn.XLOOKUP(E114, Product_Master!A:A, Product_Master!B:B)</f>
        <v>Jacket</v>
      </c>
      <c r="I114" s="2" t="str">
        <f>_xlfn.XLOOKUP(E114, Product_Master!A:A, Product_Master!C:C)</f>
        <v>Clothing</v>
      </c>
      <c r="J114" s="2">
        <f>_xlfn.XLOOKUP(E114, Product_Master!A:A, Product_Master!D:D)</f>
        <v>1500</v>
      </c>
      <c r="K114" s="2">
        <f t="shared" si="4"/>
        <v>38696</v>
      </c>
      <c r="L114" s="2">
        <f t="shared" si="5"/>
        <v>10500</v>
      </c>
      <c r="M114" s="2">
        <f t="shared" si="6"/>
        <v>28196</v>
      </c>
      <c r="N114" s="2">
        <f>_xlfn.XLOOKUP(D114, Sales_Rep_Master!A:A, Sales_Rep_Master!B:B)</f>
        <v>920000</v>
      </c>
      <c r="O114" s="4">
        <f t="shared" si="7"/>
        <v>4.2060869565217394E-2</v>
      </c>
    </row>
    <row r="115" spans="1:15" ht="15.75" hidden="1" x14ac:dyDescent="0.25">
      <c r="A115" s="3" t="s">
        <v>240</v>
      </c>
      <c r="B115" s="2" t="s">
        <v>79</v>
      </c>
      <c r="C115" s="2" t="s">
        <v>26</v>
      </c>
      <c r="D115" s="2" t="s">
        <v>152</v>
      </c>
      <c r="E115" s="2" t="s">
        <v>23</v>
      </c>
      <c r="F115" s="2">
        <v>9</v>
      </c>
      <c r="G115" s="2">
        <v>2385</v>
      </c>
      <c r="H115" s="2" t="str">
        <f>_xlfn.XLOOKUP(E115, Product_Master!A:A, Product_Master!B:B)</f>
        <v>Sofa</v>
      </c>
      <c r="I115" s="2" t="str">
        <f>_xlfn.XLOOKUP(E115, Product_Master!A:A, Product_Master!C:C)</f>
        <v>Furniture</v>
      </c>
      <c r="J115" s="2">
        <f>_xlfn.XLOOKUP(E115, Product_Master!A:A, Product_Master!D:D)</f>
        <v>15000</v>
      </c>
      <c r="K115" s="2">
        <f t="shared" si="4"/>
        <v>21465</v>
      </c>
      <c r="L115" s="2">
        <f t="shared" si="5"/>
        <v>135000</v>
      </c>
      <c r="M115" s="2">
        <f t="shared" si="6"/>
        <v>-113535</v>
      </c>
      <c r="N115" s="2">
        <f>_xlfn.XLOOKUP(D115, Sales_Rep_Master!A:A, Sales_Rep_Master!B:B)</f>
        <v>870000</v>
      </c>
      <c r="O115" s="4">
        <f t="shared" si="7"/>
        <v>2.4672413793103448E-2</v>
      </c>
    </row>
    <row r="116" spans="1:15" ht="15.75" hidden="1" x14ac:dyDescent="0.25">
      <c r="A116" s="3" t="s">
        <v>241</v>
      </c>
      <c r="B116" s="2" t="s">
        <v>58</v>
      </c>
      <c r="C116" s="2" t="s">
        <v>33</v>
      </c>
      <c r="D116" s="2" t="s">
        <v>54</v>
      </c>
      <c r="E116" s="2" t="s">
        <v>15</v>
      </c>
      <c r="F116" s="2">
        <v>14</v>
      </c>
      <c r="G116" s="2">
        <v>1669</v>
      </c>
      <c r="H116" s="2" t="str">
        <f>_xlfn.XLOOKUP(E116, Product_Master!A:A, Product_Master!B:B)</f>
        <v>Chair</v>
      </c>
      <c r="I116" s="2" t="str">
        <f>_xlfn.XLOOKUP(E116, Product_Master!A:A, Product_Master!C:C)</f>
        <v>Furniture</v>
      </c>
      <c r="J116" s="2">
        <f>_xlfn.XLOOKUP(E116, Product_Master!A:A, Product_Master!D:D)</f>
        <v>2500</v>
      </c>
      <c r="K116" s="2">
        <f t="shared" si="4"/>
        <v>23366</v>
      </c>
      <c r="L116" s="2">
        <f t="shared" si="5"/>
        <v>35000</v>
      </c>
      <c r="M116" s="2">
        <f t="shared" si="6"/>
        <v>-11634</v>
      </c>
      <c r="N116" s="2">
        <f>_xlfn.XLOOKUP(D116, Sales_Rep_Master!A:A, Sales_Rep_Master!B:B)</f>
        <v>890000</v>
      </c>
      <c r="O116" s="4">
        <f t="shared" si="7"/>
        <v>2.6253932584269665E-2</v>
      </c>
    </row>
    <row r="117" spans="1:15" ht="15.75" x14ac:dyDescent="0.25">
      <c r="A117" s="3" t="s">
        <v>242</v>
      </c>
      <c r="B117" s="2" t="s">
        <v>243</v>
      </c>
      <c r="C117" s="2" t="s">
        <v>18</v>
      </c>
      <c r="D117" s="2" t="s">
        <v>51</v>
      </c>
      <c r="E117" s="2" t="s">
        <v>20</v>
      </c>
      <c r="F117" s="2">
        <v>13</v>
      </c>
      <c r="G117" s="2">
        <v>6899</v>
      </c>
      <c r="H117" s="2" t="str">
        <f>_xlfn.XLOOKUP(E117, Product_Master!A:A, Product_Master!B:B)</f>
        <v>Headphones</v>
      </c>
      <c r="I117" s="2" t="str">
        <f>_xlfn.XLOOKUP(E117, Product_Master!A:A, Product_Master!C:C)</f>
        <v>Electronics</v>
      </c>
      <c r="J117" s="2">
        <f>_xlfn.XLOOKUP(E117, Product_Master!A:A, Product_Master!D:D)</f>
        <v>2000</v>
      </c>
      <c r="K117" s="2">
        <f t="shared" si="4"/>
        <v>89687</v>
      </c>
      <c r="L117" s="2">
        <f t="shared" si="5"/>
        <v>26000</v>
      </c>
      <c r="M117" s="2">
        <f t="shared" si="6"/>
        <v>63687</v>
      </c>
      <c r="N117" s="2">
        <f>_xlfn.XLOOKUP(D117, Sales_Rep_Master!A:A, Sales_Rep_Master!B:B)</f>
        <v>900000</v>
      </c>
      <c r="O117" s="4">
        <f t="shared" si="7"/>
        <v>9.9652222222222225E-2</v>
      </c>
    </row>
    <row r="118" spans="1:15" ht="15.75" hidden="1" x14ac:dyDescent="0.25">
      <c r="A118" s="3" t="s">
        <v>244</v>
      </c>
      <c r="B118" s="2" t="s">
        <v>245</v>
      </c>
      <c r="C118" s="2" t="s">
        <v>18</v>
      </c>
      <c r="D118" s="2" t="s">
        <v>27</v>
      </c>
      <c r="E118" s="2" t="s">
        <v>34</v>
      </c>
      <c r="F118" s="2">
        <v>14</v>
      </c>
      <c r="G118" s="2">
        <v>3262</v>
      </c>
      <c r="H118" s="2" t="str">
        <f>_xlfn.XLOOKUP(E118, Product_Master!A:A, Product_Master!B:B)</f>
        <v>Jacket</v>
      </c>
      <c r="I118" s="2" t="str">
        <f>_xlfn.XLOOKUP(E118, Product_Master!A:A, Product_Master!C:C)</f>
        <v>Clothing</v>
      </c>
      <c r="J118" s="2">
        <f>_xlfn.XLOOKUP(E118, Product_Master!A:A, Product_Master!D:D)</f>
        <v>1500</v>
      </c>
      <c r="K118" s="2">
        <f t="shared" si="4"/>
        <v>45668</v>
      </c>
      <c r="L118" s="2">
        <f t="shared" si="5"/>
        <v>21000</v>
      </c>
      <c r="M118" s="2">
        <f t="shared" si="6"/>
        <v>24668</v>
      </c>
      <c r="N118" s="2">
        <f>_xlfn.XLOOKUP(D118, Sales_Rep_Master!A:A, Sales_Rep_Master!B:B)</f>
        <v>800000</v>
      </c>
      <c r="O118" s="4">
        <f t="shared" si="7"/>
        <v>5.7084999999999997E-2</v>
      </c>
    </row>
    <row r="119" spans="1:15" ht="15.75" x14ac:dyDescent="0.25">
      <c r="A119" s="3" t="s">
        <v>246</v>
      </c>
      <c r="B119" s="2" t="s">
        <v>247</v>
      </c>
      <c r="C119" s="2" t="s">
        <v>33</v>
      </c>
      <c r="D119" s="2" t="s">
        <v>152</v>
      </c>
      <c r="E119" s="2" t="s">
        <v>28</v>
      </c>
      <c r="F119" s="2">
        <v>4</v>
      </c>
      <c r="G119" s="2">
        <v>1941</v>
      </c>
      <c r="H119" s="2" t="str">
        <f>_xlfn.XLOOKUP(E119, Product_Master!A:A, Product_Master!B:B)</f>
        <v>Laptop</v>
      </c>
      <c r="I119" s="2" t="str">
        <f>_xlfn.XLOOKUP(E119, Product_Master!A:A, Product_Master!C:C)</f>
        <v>Electronics</v>
      </c>
      <c r="J119" s="2">
        <f>_xlfn.XLOOKUP(E119, Product_Master!A:A, Product_Master!D:D)</f>
        <v>35000</v>
      </c>
      <c r="K119" s="2">
        <f t="shared" si="4"/>
        <v>7764</v>
      </c>
      <c r="L119" s="2">
        <f t="shared" si="5"/>
        <v>140000</v>
      </c>
      <c r="M119" s="2">
        <f t="shared" si="6"/>
        <v>-132236</v>
      </c>
      <c r="N119" s="2">
        <f>_xlfn.XLOOKUP(D119, Sales_Rep_Master!A:A, Sales_Rep_Master!B:B)</f>
        <v>870000</v>
      </c>
      <c r="O119" s="4">
        <f t="shared" si="7"/>
        <v>8.9241379310344825E-3</v>
      </c>
    </row>
    <row r="120" spans="1:15" ht="15.75" hidden="1" x14ac:dyDescent="0.25">
      <c r="A120" s="3" t="s">
        <v>248</v>
      </c>
      <c r="B120" s="2" t="s">
        <v>249</v>
      </c>
      <c r="C120" s="2" t="s">
        <v>18</v>
      </c>
      <c r="D120" s="2" t="s">
        <v>37</v>
      </c>
      <c r="E120" s="2" t="s">
        <v>40</v>
      </c>
      <c r="F120" s="2">
        <v>13</v>
      </c>
      <c r="G120" s="2">
        <v>7252</v>
      </c>
      <c r="H120" s="2" t="str">
        <f>_xlfn.XLOOKUP(E120, Product_Master!A:A, Product_Master!B:B)</f>
        <v>Table</v>
      </c>
      <c r="I120" s="2" t="str">
        <f>_xlfn.XLOOKUP(E120, Product_Master!A:A, Product_Master!C:C)</f>
        <v>Furniture</v>
      </c>
      <c r="J120" s="2">
        <f>_xlfn.XLOOKUP(E120, Product_Master!A:A, Product_Master!D:D)</f>
        <v>7000</v>
      </c>
      <c r="K120" s="2">
        <f t="shared" si="4"/>
        <v>94276</v>
      </c>
      <c r="L120" s="2">
        <f t="shared" si="5"/>
        <v>91000</v>
      </c>
      <c r="M120" s="2">
        <f t="shared" si="6"/>
        <v>3276</v>
      </c>
      <c r="N120" s="2">
        <f>_xlfn.XLOOKUP(D120, Sales_Rep_Master!A:A, Sales_Rep_Master!B:B)</f>
        <v>850000</v>
      </c>
      <c r="O120" s="4">
        <f t="shared" si="7"/>
        <v>0.11091294117647059</v>
      </c>
    </row>
    <row r="121" spans="1:15" ht="15.75" hidden="1" x14ac:dyDescent="0.25">
      <c r="A121" s="3" t="s">
        <v>250</v>
      </c>
      <c r="B121" s="2" t="s">
        <v>251</v>
      </c>
      <c r="C121" s="2" t="s">
        <v>18</v>
      </c>
      <c r="D121" s="2" t="s">
        <v>152</v>
      </c>
      <c r="E121" s="2" t="s">
        <v>15</v>
      </c>
      <c r="F121" s="2">
        <v>2</v>
      </c>
      <c r="G121" s="2">
        <v>1901</v>
      </c>
      <c r="H121" s="2" t="str">
        <f>_xlfn.XLOOKUP(E121, Product_Master!A:A, Product_Master!B:B)</f>
        <v>Chair</v>
      </c>
      <c r="I121" s="2" t="str">
        <f>_xlfn.XLOOKUP(E121, Product_Master!A:A, Product_Master!C:C)</f>
        <v>Furniture</v>
      </c>
      <c r="J121" s="2">
        <f>_xlfn.XLOOKUP(E121, Product_Master!A:A, Product_Master!D:D)</f>
        <v>2500</v>
      </c>
      <c r="K121" s="2">
        <f t="shared" si="4"/>
        <v>3802</v>
      </c>
      <c r="L121" s="2">
        <f t="shared" si="5"/>
        <v>5000</v>
      </c>
      <c r="M121" s="2">
        <f t="shared" si="6"/>
        <v>-1198</v>
      </c>
      <c r="N121" s="2">
        <f>_xlfn.XLOOKUP(D121, Sales_Rep_Master!A:A, Sales_Rep_Master!B:B)</f>
        <v>870000</v>
      </c>
      <c r="O121" s="4">
        <f t="shared" si="7"/>
        <v>4.3701149425287352E-3</v>
      </c>
    </row>
    <row r="122" spans="1:15" ht="15.75" hidden="1" x14ac:dyDescent="0.25">
      <c r="A122" s="3" t="s">
        <v>252</v>
      </c>
      <c r="B122" s="2" t="s">
        <v>253</v>
      </c>
      <c r="C122" s="2" t="s">
        <v>9</v>
      </c>
      <c r="D122" s="2" t="s">
        <v>19</v>
      </c>
      <c r="E122" s="2" t="s">
        <v>15</v>
      </c>
      <c r="F122" s="2">
        <v>8</v>
      </c>
      <c r="G122" s="2">
        <v>4197</v>
      </c>
      <c r="H122" s="2" t="str">
        <f>_xlfn.XLOOKUP(E122, Product_Master!A:A, Product_Master!B:B)</f>
        <v>Chair</v>
      </c>
      <c r="I122" s="2" t="str">
        <f>_xlfn.XLOOKUP(E122, Product_Master!A:A, Product_Master!C:C)</f>
        <v>Furniture</v>
      </c>
      <c r="J122" s="2">
        <f>_xlfn.XLOOKUP(E122, Product_Master!A:A, Product_Master!D:D)</f>
        <v>2500</v>
      </c>
      <c r="K122" s="2">
        <f t="shared" si="4"/>
        <v>33576</v>
      </c>
      <c r="L122" s="2">
        <f t="shared" si="5"/>
        <v>20000</v>
      </c>
      <c r="M122" s="2">
        <f t="shared" si="6"/>
        <v>13576</v>
      </c>
      <c r="N122" s="2">
        <f>_xlfn.XLOOKUP(D122, Sales_Rep_Master!A:A, Sales_Rep_Master!B:B)</f>
        <v>950000</v>
      </c>
      <c r="O122" s="4">
        <f t="shared" si="7"/>
        <v>3.534315789473684E-2</v>
      </c>
    </row>
    <row r="123" spans="1:15" ht="15.75" hidden="1" x14ac:dyDescent="0.25">
      <c r="A123" s="3" t="s">
        <v>254</v>
      </c>
      <c r="B123" s="2" t="s">
        <v>255</v>
      </c>
      <c r="C123" s="2" t="s">
        <v>18</v>
      </c>
      <c r="D123" s="2" t="s">
        <v>152</v>
      </c>
      <c r="E123" s="2" t="s">
        <v>23</v>
      </c>
      <c r="F123" s="2">
        <v>8</v>
      </c>
      <c r="G123" s="2">
        <v>7188</v>
      </c>
      <c r="H123" s="2" t="str">
        <f>_xlfn.XLOOKUP(E123, Product_Master!A:A, Product_Master!B:B)</f>
        <v>Sofa</v>
      </c>
      <c r="I123" s="2" t="str">
        <f>_xlfn.XLOOKUP(E123, Product_Master!A:A, Product_Master!C:C)</f>
        <v>Furniture</v>
      </c>
      <c r="J123" s="2">
        <f>_xlfn.XLOOKUP(E123, Product_Master!A:A, Product_Master!D:D)</f>
        <v>15000</v>
      </c>
      <c r="K123" s="2">
        <f t="shared" si="4"/>
        <v>57504</v>
      </c>
      <c r="L123" s="2">
        <f t="shared" si="5"/>
        <v>120000</v>
      </c>
      <c r="M123" s="2">
        <f t="shared" si="6"/>
        <v>-62496</v>
      </c>
      <c r="N123" s="2">
        <f>_xlfn.XLOOKUP(D123, Sales_Rep_Master!A:A, Sales_Rep_Master!B:B)</f>
        <v>870000</v>
      </c>
      <c r="O123" s="4">
        <f t="shared" si="7"/>
        <v>6.6096551724137934E-2</v>
      </c>
    </row>
    <row r="124" spans="1:15" ht="15.75" x14ac:dyDescent="0.25">
      <c r="A124" s="3" t="s">
        <v>256</v>
      </c>
      <c r="B124" s="2" t="s">
        <v>257</v>
      </c>
      <c r="C124" s="2" t="s">
        <v>9</v>
      </c>
      <c r="D124" s="2" t="s">
        <v>152</v>
      </c>
      <c r="E124" s="2" t="s">
        <v>11</v>
      </c>
      <c r="F124" s="2">
        <v>10</v>
      </c>
      <c r="G124" s="2">
        <v>4612</v>
      </c>
      <c r="H124" s="2" t="str">
        <f>_xlfn.XLOOKUP(E124, Product_Master!A:A, Product_Master!B:B)</f>
        <v>Mobile</v>
      </c>
      <c r="I124" s="2" t="str">
        <f>_xlfn.XLOOKUP(E124, Product_Master!A:A, Product_Master!C:C)</f>
        <v>Electronics</v>
      </c>
      <c r="J124" s="2">
        <f>_xlfn.XLOOKUP(E124, Product_Master!A:A, Product_Master!D:D)</f>
        <v>18000</v>
      </c>
      <c r="K124" s="2">
        <f t="shared" si="4"/>
        <v>46120</v>
      </c>
      <c r="L124" s="2">
        <f t="shared" si="5"/>
        <v>180000</v>
      </c>
      <c r="M124" s="2">
        <f t="shared" si="6"/>
        <v>-133880</v>
      </c>
      <c r="N124" s="2">
        <f>_xlfn.XLOOKUP(D124, Sales_Rep_Master!A:A, Sales_Rep_Master!B:B)</f>
        <v>870000</v>
      </c>
      <c r="O124" s="4">
        <f t="shared" si="7"/>
        <v>5.3011494252873562E-2</v>
      </c>
    </row>
    <row r="125" spans="1:15" ht="15.75" x14ac:dyDescent="0.25">
      <c r="A125" s="3" t="s">
        <v>258</v>
      </c>
      <c r="B125" s="2" t="s">
        <v>259</v>
      </c>
      <c r="C125" s="2" t="s">
        <v>18</v>
      </c>
      <c r="D125" s="2" t="s">
        <v>10</v>
      </c>
      <c r="E125" s="2" t="s">
        <v>11</v>
      </c>
      <c r="F125" s="2">
        <v>4</v>
      </c>
      <c r="G125" s="2">
        <v>3682</v>
      </c>
      <c r="H125" s="2" t="str">
        <f>_xlfn.XLOOKUP(E125, Product_Master!A:A, Product_Master!B:B)</f>
        <v>Mobile</v>
      </c>
      <c r="I125" s="2" t="str">
        <f>_xlfn.XLOOKUP(E125, Product_Master!A:A, Product_Master!C:C)</f>
        <v>Electronics</v>
      </c>
      <c r="J125" s="2">
        <f>_xlfn.XLOOKUP(E125, Product_Master!A:A, Product_Master!D:D)</f>
        <v>18000</v>
      </c>
      <c r="K125" s="2">
        <f t="shared" si="4"/>
        <v>14728</v>
      </c>
      <c r="L125" s="2">
        <f t="shared" si="5"/>
        <v>72000</v>
      </c>
      <c r="M125" s="2">
        <f t="shared" si="6"/>
        <v>-57272</v>
      </c>
      <c r="N125" s="2">
        <f>_xlfn.XLOOKUP(D125, Sales_Rep_Master!A:A, Sales_Rep_Master!B:B)</f>
        <v>920000</v>
      </c>
      <c r="O125" s="4">
        <f t="shared" si="7"/>
        <v>1.6008695652173912E-2</v>
      </c>
    </row>
    <row r="126" spans="1:15" ht="15.75" hidden="1" x14ac:dyDescent="0.25">
      <c r="A126" s="3" t="s">
        <v>260</v>
      </c>
      <c r="B126" s="2" t="s">
        <v>261</v>
      </c>
      <c r="C126" s="2" t="s">
        <v>18</v>
      </c>
      <c r="D126" s="2" t="s">
        <v>19</v>
      </c>
      <c r="E126" s="2" t="s">
        <v>23</v>
      </c>
      <c r="F126" s="2">
        <v>3</v>
      </c>
      <c r="G126" s="2">
        <v>4573</v>
      </c>
      <c r="H126" s="2" t="str">
        <f>_xlfn.XLOOKUP(E126, Product_Master!A:A, Product_Master!B:B)</f>
        <v>Sofa</v>
      </c>
      <c r="I126" s="2" t="str">
        <f>_xlfn.XLOOKUP(E126, Product_Master!A:A, Product_Master!C:C)</f>
        <v>Furniture</v>
      </c>
      <c r="J126" s="2">
        <f>_xlfn.XLOOKUP(E126, Product_Master!A:A, Product_Master!D:D)</f>
        <v>15000</v>
      </c>
      <c r="K126" s="2">
        <f t="shared" si="4"/>
        <v>13719</v>
      </c>
      <c r="L126" s="2">
        <f t="shared" si="5"/>
        <v>45000</v>
      </c>
      <c r="M126" s="2">
        <f t="shared" si="6"/>
        <v>-31281</v>
      </c>
      <c r="N126" s="2">
        <f>_xlfn.XLOOKUP(D126, Sales_Rep_Master!A:A, Sales_Rep_Master!B:B)</f>
        <v>950000</v>
      </c>
      <c r="O126" s="4">
        <f t="shared" si="7"/>
        <v>1.4441052631578948E-2</v>
      </c>
    </row>
    <row r="127" spans="1:15" ht="15.75" hidden="1" x14ac:dyDescent="0.25">
      <c r="A127" s="3" t="s">
        <v>262</v>
      </c>
      <c r="B127" s="2" t="s">
        <v>60</v>
      </c>
      <c r="C127" s="2" t="s">
        <v>26</v>
      </c>
      <c r="D127" s="2" t="s">
        <v>10</v>
      </c>
      <c r="E127" s="2" t="s">
        <v>15</v>
      </c>
      <c r="F127" s="2">
        <v>10</v>
      </c>
      <c r="G127" s="2">
        <v>1558</v>
      </c>
      <c r="H127" s="2" t="str">
        <f>_xlfn.XLOOKUP(E127, Product_Master!A:A, Product_Master!B:B)</f>
        <v>Chair</v>
      </c>
      <c r="I127" s="2" t="str">
        <f>_xlfn.XLOOKUP(E127, Product_Master!A:A, Product_Master!C:C)</f>
        <v>Furniture</v>
      </c>
      <c r="J127" s="2">
        <f>_xlfn.XLOOKUP(E127, Product_Master!A:A, Product_Master!D:D)</f>
        <v>2500</v>
      </c>
      <c r="K127" s="2">
        <f t="shared" si="4"/>
        <v>15580</v>
      </c>
      <c r="L127" s="2">
        <f t="shared" si="5"/>
        <v>25000</v>
      </c>
      <c r="M127" s="2">
        <f t="shared" si="6"/>
        <v>-9420</v>
      </c>
      <c r="N127" s="2">
        <f>_xlfn.XLOOKUP(D127, Sales_Rep_Master!A:A, Sales_Rep_Master!B:B)</f>
        <v>920000</v>
      </c>
      <c r="O127" s="4">
        <f t="shared" si="7"/>
        <v>1.6934782608695652E-2</v>
      </c>
    </row>
    <row r="128" spans="1:15" ht="15.75" x14ac:dyDescent="0.25">
      <c r="A128" s="3" t="s">
        <v>263</v>
      </c>
      <c r="B128" s="2" t="s">
        <v>264</v>
      </c>
      <c r="C128" s="2" t="s">
        <v>33</v>
      </c>
      <c r="D128" s="2" t="s">
        <v>51</v>
      </c>
      <c r="E128" s="2" t="s">
        <v>11</v>
      </c>
      <c r="F128" s="2">
        <v>6</v>
      </c>
      <c r="G128" s="2">
        <v>4183</v>
      </c>
      <c r="H128" s="2" t="str">
        <f>_xlfn.XLOOKUP(E128, Product_Master!A:A, Product_Master!B:B)</f>
        <v>Mobile</v>
      </c>
      <c r="I128" s="2" t="str">
        <f>_xlfn.XLOOKUP(E128, Product_Master!A:A, Product_Master!C:C)</f>
        <v>Electronics</v>
      </c>
      <c r="J128" s="2">
        <f>_xlfn.XLOOKUP(E128, Product_Master!A:A, Product_Master!D:D)</f>
        <v>18000</v>
      </c>
      <c r="K128" s="2">
        <f t="shared" si="4"/>
        <v>25098</v>
      </c>
      <c r="L128" s="2">
        <f t="shared" si="5"/>
        <v>108000</v>
      </c>
      <c r="M128" s="2">
        <f t="shared" si="6"/>
        <v>-82902</v>
      </c>
      <c r="N128" s="2">
        <f>_xlfn.XLOOKUP(D128, Sales_Rep_Master!A:A, Sales_Rep_Master!B:B)</f>
        <v>900000</v>
      </c>
      <c r="O128" s="4">
        <f t="shared" si="7"/>
        <v>2.7886666666666667E-2</v>
      </c>
    </row>
    <row r="129" spans="1:15" ht="15.75" hidden="1" x14ac:dyDescent="0.25">
      <c r="A129" s="3" t="s">
        <v>265</v>
      </c>
      <c r="B129" s="2" t="s">
        <v>266</v>
      </c>
      <c r="C129" s="2" t="s">
        <v>33</v>
      </c>
      <c r="D129" s="2" t="s">
        <v>10</v>
      </c>
      <c r="E129" s="2" t="s">
        <v>34</v>
      </c>
      <c r="F129" s="2">
        <v>4</v>
      </c>
      <c r="G129" s="2">
        <v>3067</v>
      </c>
      <c r="H129" s="2" t="str">
        <f>_xlfn.XLOOKUP(E129, Product_Master!A:A, Product_Master!B:B)</f>
        <v>Jacket</v>
      </c>
      <c r="I129" s="2" t="str">
        <f>_xlfn.XLOOKUP(E129, Product_Master!A:A, Product_Master!C:C)</f>
        <v>Clothing</v>
      </c>
      <c r="J129" s="2">
        <f>_xlfn.XLOOKUP(E129, Product_Master!A:A, Product_Master!D:D)</f>
        <v>1500</v>
      </c>
      <c r="K129" s="2">
        <f t="shared" si="4"/>
        <v>12268</v>
      </c>
      <c r="L129" s="2">
        <f t="shared" si="5"/>
        <v>6000</v>
      </c>
      <c r="M129" s="2">
        <f t="shared" si="6"/>
        <v>6268</v>
      </c>
      <c r="N129" s="2">
        <f>_xlfn.XLOOKUP(D129, Sales_Rep_Master!A:A, Sales_Rep_Master!B:B)</f>
        <v>920000</v>
      </c>
      <c r="O129" s="4">
        <f t="shared" si="7"/>
        <v>1.3334782608695653E-2</v>
      </c>
    </row>
    <row r="130" spans="1:15" ht="15.75" x14ac:dyDescent="0.25">
      <c r="A130" s="3" t="s">
        <v>267</v>
      </c>
      <c r="B130" s="2" t="s">
        <v>268</v>
      </c>
      <c r="C130" s="2" t="s">
        <v>26</v>
      </c>
      <c r="D130" s="2" t="s">
        <v>54</v>
      </c>
      <c r="E130" s="2" t="s">
        <v>20</v>
      </c>
      <c r="F130" s="2">
        <v>6</v>
      </c>
      <c r="G130" s="2">
        <v>3160</v>
      </c>
      <c r="H130" s="2" t="str">
        <f>_xlfn.XLOOKUP(E130, Product_Master!A:A, Product_Master!B:B)</f>
        <v>Headphones</v>
      </c>
      <c r="I130" s="2" t="str">
        <f>_xlfn.XLOOKUP(E130, Product_Master!A:A, Product_Master!C:C)</f>
        <v>Electronics</v>
      </c>
      <c r="J130" s="2">
        <f>_xlfn.XLOOKUP(E130, Product_Master!A:A, Product_Master!D:D)</f>
        <v>2000</v>
      </c>
      <c r="K130" s="2">
        <f t="shared" ref="K130:K193" si="8">F130*G130</f>
        <v>18960</v>
      </c>
      <c r="L130" s="2">
        <f t="shared" ref="L130:L193" si="9">F130*J130</f>
        <v>12000</v>
      </c>
      <c r="M130" s="2">
        <f t="shared" ref="M130:M193" si="10">K130-L130</f>
        <v>6960</v>
      </c>
      <c r="N130" s="2">
        <f>_xlfn.XLOOKUP(D130, Sales_Rep_Master!A:A, Sales_Rep_Master!B:B)</f>
        <v>890000</v>
      </c>
      <c r="O130" s="4">
        <f t="shared" ref="O130:O193" si="11">K130/N130</f>
        <v>2.1303370786516854E-2</v>
      </c>
    </row>
    <row r="131" spans="1:15" ht="15.75" hidden="1" x14ac:dyDescent="0.25">
      <c r="A131" s="3" t="s">
        <v>269</v>
      </c>
      <c r="B131" s="2" t="s">
        <v>270</v>
      </c>
      <c r="C131" s="2" t="s">
        <v>18</v>
      </c>
      <c r="D131" s="2" t="s">
        <v>14</v>
      </c>
      <c r="E131" s="2" t="s">
        <v>34</v>
      </c>
      <c r="F131" s="2">
        <v>12</v>
      </c>
      <c r="G131" s="2">
        <v>1681</v>
      </c>
      <c r="H131" s="2" t="str">
        <f>_xlfn.XLOOKUP(E131, Product_Master!A:A, Product_Master!B:B)</f>
        <v>Jacket</v>
      </c>
      <c r="I131" s="2" t="str">
        <f>_xlfn.XLOOKUP(E131, Product_Master!A:A, Product_Master!C:C)</f>
        <v>Clothing</v>
      </c>
      <c r="J131" s="2">
        <f>_xlfn.XLOOKUP(E131, Product_Master!A:A, Product_Master!D:D)</f>
        <v>1500</v>
      </c>
      <c r="K131" s="2">
        <f t="shared" si="8"/>
        <v>20172</v>
      </c>
      <c r="L131" s="2">
        <f t="shared" si="9"/>
        <v>18000</v>
      </c>
      <c r="M131" s="2">
        <f t="shared" si="10"/>
        <v>2172</v>
      </c>
      <c r="N131" s="2">
        <f>_xlfn.XLOOKUP(D131, Sales_Rep_Master!A:A, Sales_Rep_Master!B:B)</f>
        <v>880000</v>
      </c>
      <c r="O131" s="4">
        <f t="shared" si="11"/>
        <v>2.2922727272727272E-2</v>
      </c>
    </row>
    <row r="132" spans="1:15" ht="15.75" x14ac:dyDescent="0.25">
      <c r="A132" s="3" t="s">
        <v>271</v>
      </c>
      <c r="B132" s="2" t="s">
        <v>145</v>
      </c>
      <c r="C132" s="2" t="s">
        <v>9</v>
      </c>
      <c r="D132" s="2" t="s">
        <v>152</v>
      </c>
      <c r="E132" s="2" t="s">
        <v>28</v>
      </c>
      <c r="F132" s="2">
        <v>9</v>
      </c>
      <c r="G132" s="2">
        <v>5426</v>
      </c>
      <c r="H132" s="2" t="str">
        <f>_xlfn.XLOOKUP(E132, Product_Master!A:A, Product_Master!B:B)</f>
        <v>Laptop</v>
      </c>
      <c r="I132" s="2" t="str">
        <f>_xlfn.XLOOKUP(E132, Product_Master!A:A, Product_Master!C:C)</f>
        <v>Electronics</v>
      </c>
      <c r="J132" s="2">
        <f>_xlfn.XLOOKUP(E132, Product_Master!A:A, Product_Master!D:D)</f>
        <v>35000</v>
      </c>
      <c r="K132" s="2">
        <f t="shared" si="8"/>
        <v>48834</v>
      </c>
      <c r="L132" s="2">
        <f t="shared" si="9"/>
        <v>315000</v>
      </c>
      <c r="M132" s="2">
        <f t="shared" si="10"/>
        <v>-266166</v>
      </c>
      <c r="N132" s="2">
        <f>_xlfn.XLOOKUP(D132, Sales_Rep_Master!A:A, Sales_Rep_Master!B:B)</f>
        <v>870000</v>
      </c>
      <c r="O132" s="4">
        <f t="shared" si="11"/>
        <v>5.6131034482758621E-2</v>
      </c>
    </row>
    <row r="133" spans="1:15" ht="15.75" hidden="1" x14ac:dyDescent="0.25">
      <c r="A133" s="3" t="s">
        <v>272</v>
      </c>
      <c r="B133" s="2" t="s">
        <v>273</v>
      </c>
      <c r="C133" s="2" t="s">
        <v>33</v>
      </c>
      <c r="D133" s="2" t="s">
        <v>37</v>
      </c>
      <c r="E133" s="2" t="s">
        <v>15</v>
      </c>
      <c r="F133" s="2">
        <v>4</v>
      </c>
      <c r="G133" s="2">
        <v>7979</v>
      </c>
      <c r="H133" s="2" t="str">
        <f>_xlfn.XLOOKUP(E133, Product_Master!A:A, Product_Master!B:B)</f>
        <v>Chair</v>
      </c>
      <c r="I133" s="2" t="str">
        <f>_xlfn.XLOOKUP(E133, Product_Master!A:A, Product_Master!C:C)</f>
        <v>Furniture</v>
      </c>
      <c r="J133" s="2">
        <f>_xlfn.XLOOKUP(E133, Product_Master!A:A, Product_Master!D:D)</f>
        <v>2500</v>
      </c>
      <c r="K133" s="2">
        <f t="shared" si="8"/>
        <v>31916</v>
      </c>
      <c r="L133" s="2">
        <f t="shared" si="9"/>
        <v>10000</v>
      </c>
      <c r="M133" s="2">
        <f t="shared" si="10"/>
        <v>21916</v>
      </c>
      <c r="N133" s="2">
        <f>_xlfn.XLOOKUP(D133, Sales_Rep_Master!A:A, Sales_Rep_Master!B:B)</f>
        <v>850000</v>
      </c>
      <c r="O133" s="4">
        <f t="shared" si="11"/>
        <v>3.7548235294117646E-2</v>
      </c>
    </row>
    <row r="134" spans="1:15" ht="15.75" hidden="1" x14ac:dyDescent="0.25">
      <c r="A134" s="3" t="s">
        <v>274</v>
      </c>
      <c r="B134" s="2" t="s">
        <v>39</v>
      </c>
      <c r="C134" s="2" t="s">
        <v>26</v>
      </c>
      <c r="D134" s="2" t="s">
        <v>51</v>
      </c>
      <c r="E134" s="2" t="s">
        <v>61</v>
      </c>
      <c r="F134" s="2">
        <v>12</v>
      </c>
      <c r="G134" s="2">
        <v>7775</v>
      </c>
      <c r="H134" s="2" t="str">
        <f>_xlfn.XLOOKUP(E134, Product_Master!A:A, Product_Master!B:B)</f>
        <v>Shoes</v>
      </c>
      <c r="I134" s="2" t="str">
        <f>_xlfn.XLOOKUP(E134, Product_Master!A:A, Product_Master!C:C)</f>
        <v>Clothing</v>
      </c>
      <c r="J134" s="2">
        <f>_xlfn.XLOOKUP(E134, Product_Master!A:A, Product_Master!D:D)</f>
        <v>2000</v>
      </c>
      <c r="K134" s="2">
        <f t="shared" si="8"/>
        <v>93300</v>
      </c>
      <c r="L134" s="2">
        <f t="shared" si="9"/>
        <v>24000</v>
      </c>
      <c r="M134" s="2">
        <f t="shared" si="10"/>
        <v>69300</v>
      </c>
      <c r="N134" s="2">
        <f>_xlfn.XLOOKUP(D134, Sales_Rep_Master!A:A, Sales_Rep_Master!B:B)</f>
        <v>900000</v>
      </c>
      <c r="O134" s="4">
        <f t="shared" si="11"/>
        <v>0.10366666666666667</v>
      </c>
    </row>
    <row r="135" spans="1:15" ht="15.75" x14ac:dyDescent="0.25">
      <c r="A135" s="3" t="s">
        <v>275</v>
      </c>
      <c r="B135" s="2" t="s">
        <v>276</v>
      </c>
      <c r="C135" s="2" t="s">
        <v>9</v>
      </c>
      <c r="D135" s="2" t="s">
        <v>10</v>
      </c>
      <c r="E135" s="2" t="s">
        <v>20</v>
      </c>
      <c r="F135" s="2">
        <v>13</v>
      </c>
      <c r="G135" s="2">
        <v>4213</v>
      </c>
      <c r="H135" s="2" t="str">
        <f>_xlfn.XLOOKUP(E135, Product_Master!A:A, Product_Master!B:B)</f>
        <v>Headphones</v>
      </c>
      <c r="I135" s="2" t="str">
        <f>_xlfn.XLOOKUP(E135, Product_Master!A:A, Product_Master!C:C)</f>
        <v>Electronics</v>
      </c>
      <c r="J135" s="2">
        <f>_xlfn.XLOOKUP(E135, Product_Master!A:A, Product_Master!D:D)</f>
        <v>2000</v>
      </c>
      <c r="K135" s="2">
        <f t="shared" si="8"/>
        <v>54769</v>
      </c>
      <c r="L135" s="2">
        <f t="shared" si="9"/>
        <v>26000</v>
      </c>
      <c r="M135" s="2">
        <f t="shared" si="10"/>
        <v>28769</v>
      </c>
      <c r="N135" s="2">
        <f>_xlfn.XLOOKUP(D135, Sales_Rep_Master!A:A, Sales_Rep_Master!B:B)</f>
        <v>920000</v>
      </c>
      <c r="O135" s="4">
        <f t="shared" si="11"/>
        <v>5.9531521739130434E-2</v>
      </c>
    </row>
    <row r="136" spans="1:15" ht="15.75" x14ac:dyDescent="0.25">
      <c r="A136" s="3" t="s">
        <v>277</v>
      </c>
      <c r="B136" s="2" t="s">
        <v>278</v>
      </c>
      <c r="C136" s="2" t="s">
        <v>33</v>
      </c>
      <c r="D136" s="2" t="s">
        <v>19</v>
      </c>
      <c r="E136" s="2" t="s">
        <v>11</v>
      </c>
      <c r="F136" s="2">
        <v>11</v>
      </c>
      <c r="G136" s="2">
        <v>3205</v>
      </c>
      <c r="H136" s="2" t="str">
        <f>_xlfn.XLOOKUP(E136, Product_Master!A:A, Product_Master!B:B)</f>
        <v>Mobile</v>
      </c>
      <c r="I136" s="2" t="str">
        <f>_xlfn.XLOOKUP(E136, Product_Master!A:A, Product_Master!C:C)</f>
        <v>Electronics</v>
      </c>
      <c r="J136" s="2">
        <f>_xlfn.XLOOKUP(E136, Product_Master!A:A, Product_Master!D:D)</f>
        <v>18000</v>
      </c>
      <c r="K136" s="2">
        <f t="shared" si="8"/>
        <v>35255</v>
      </c>
      <c r="L136" s="2">
        <f t="shared" si="9"/>
        <v>198000</v>
      </c>
      <c r="M136" s="2">
        <f t="shared" si="10"/>
        <v>-162745</v>
      </c>
      <c r="N136" s="2">
        <f>_xlfn.XLOOKUP(D136, Sales_Rep_Master!A:A, Sales_Rep_Master!B:B)</f>
        <v>950000</v>
      </c>
      <c r="O136" s="4">
        <f t="shared" si="11"/>
        <v>3.7110526315789476E-2</v>
      </c>
    </row>
    <row r="137" spans="1:15" ht="15.75" hidden="1" x14ac:dyDescent="0.25">
      <c r="A137" s="3" t="s">
        <v>279</v>
      </c>
      <c r="B137" s="2" t="s">
        <v>280</v>
      </c>
      <c r="C137" s="2" t="s">
        <v>26</v>
      </c>
      <c r="D137" s="2" t="s">
        <v>37</v>
      </c>
      <c r="E137" s="2" t="s">
        <v>23</v>
      </c>
      <c r="F137" s="2">
        <v>10</v>
      </c>
      <c r="G137" s="2">
        <v>7144</v>
      </c>
      <c r="H137" s="2" t="str">
        <f>_xlfn.XLOOKUP(E137, Product_Master!A:A, Product_Master!B:B)</f>
        <v>Sofa</v>
      </c>
      <c r="I137" s="2" t="str">
        <f>_xlfn.XLOOKUP(E137, Product_Master!A:A, Product_Master!C:C)</f>
        <v>Furniture</v>
      </c>
      <c r="J137" s="2">
        <f>_xlfn.XLOOKUP(E137, Product_Master!A:A, Product_Master!D:D)</f>
        <v>15000</v>
      </c>
      <c r="K137" s="2">
        <f t="shared" si="8"/>
        <v>71440</v>
      </c>
      <c r="L137" s="2">
        <f t="shared" si="9"/>
        <v>150000</v>
      </c>
      <c r="M137" s="2">
        <f t="shared" si="10"/>
        <v>-78560</v>
      </c>
      <c r="N137" s="2">
        <f>_xlfn.XLOOKUP(D137, Sales_Rep_Master!A:A, Sales_Rep_Master!B:B)</f>
        <v>850000</v>
      </c>
      <c r="O137" s="4">
        <f t="shared" si="11"/>
        <v>8.4047058823529405E-2</v>
      </c>
    </row>
    <row r="138" spans="1:15" ht="15.75" x14ac:dyDescent="0.25">
      <c r="A138" s="3" t="s">
        <v>281</v>
      </c>
      <c r="B138" s="2" t="s">
        <v>282</v>
      </c>
      <c r="C138" s="2" t="s">
        <v>33</v>
      </c>
      <c r="D138" s="2" t="s">
        <v>51</v>
      </c>
      <c r="E138" s="2" t="s">
        <v>28</v>
      </c>
      <c r="F138" s="2">
        <v>4</v>
      </c>
      <c r="G138" s="2">
        <v>2084</v>
      </c>
      <c r="H138" s="2" t="str">
        <f>_xlfn.XLOOKUP(E138, Product_Master!A:A, Product_Master!B:B)</f>
        <v>Laptop</v>
      </c>
      <c r="I138" s="2" t="str">
        <f>_xlfn.XLOOKUP(E138, Product_Master!A:A, Product_Master!C:C)</f>
        <v>Electronics</v>
      </c>
      <c r="J138" s="2">
        <f>_xlfn.XLOOKUP(E138, Product_Master!A:A, Product_Master!D:D)</f>
        <v>35000</v>
      </c>
      <c r="K138" s="2">
        <f t="shared" si="8"/>
        <v>8336</v>
      </c>
      <c r="L138" s="2">
        <f t="shared" si="9"/>
        <v>140000</v>
      </c>
      <c r="M138" s="2">
        <f t="shared" si="10"/>
        <v>-131664</v>
      </c>
      <c r="N138" s="2">
        <f>_xlfn.XLOOKUP(D138, Sales_Rep_Master!A:A, Sales_Rep_Master!B:B)</f>
        <v>900000</v>
      </c>
      <c r="O138" s="4">
        <f t="shared" si="11"/>
        <v>9.262222222222222E-3</v>
      </c>
    </row>
    <row r="139" spans="1:15" ht="15.75" x14ac:dyDescent="0.25">
      <c r="A139" s="3" t="s">
        <v>283</v>
      </c>
      <c r="B139" s="2" t="s">
        <v>284</v>
      </c>
      <c r="C139" s="2" t="s">
        <v>33</v>
      </c>
      <c r="D139" s="2" t="s">
        <v>54</v>
      </c>
      <c r="E139" s="2" t="s">
        <v>11</v>
      </c>
      <c r="F139" s="2">
        <v>5</v>
      </c>
      <c r="G139" s="2">
        <v>7039</v>
      </c>
      <c r="H139" s="2" t="str">
        <f>_xlfn.XLOOKUP(E139, Product_Master!A:A, Product_Master!B:B)</f>
        <v>Mobile</v>
      </c>
      <c r="I139" s="2" t="str">
        <f>_xlfn.XLOOKUP(E139, Product_Master!A:A, Product_Master!C:C)</f>
        <v>Electronics</v>
      </c>
      <c r="J139" s="2">
        <f>_xlfn.XLOOKUP(E139, Product_Master!A:A, Product_Master!D:D)</f>
        <v>18000</v>
      </c>
      <c r="K139" s="2">
        <f t="shared" si="8"/>
        <v>35195</v>
      </c>
      <c r="L139" s="2">
        <f t="shared" si="9"/>
        <v>90000</v>
      </c>
      <c r="M139" s="2">
        <f t="shared" si="10"/>
        <v>-54805</v>
      </c>
      <c r="N139" s="2">
        <f>_xlfn.XLOOKUP(D139, Sales_Rep_Master!A:A, Sales_Rep_Master!B:B)</f>
        <v>890000</v>
      </c>
      <c r="O139" s="4">
        <f t="shared" si="11"/>
        <v>3.9544943820224721E-2</v>
      </c>
    </row>
    <row r="140" spans="1:15" ht="15.75" hidden="1" x14ac:dyDescent="0.25">
      <c r="A140" s="3" t="s">
        <v>285</v>
      </c>
      <c r="B140" s="2" t="s">
        <v>286</v>
      </c>
      <c r="C140" s="2" t="s">
        <v>18</v>
      </c>
      <c r="D140" s="2" t="s">
        <v>51</v>
      </c>
      <c r="E140" s="2" t="s">
        <v>61</v>
      </c>
      <c r="F140" s="2">
        <v>10</v>
      </c>
      <c r="G140" s="2">
        <v>5579</v>
      </c>
      <c r="H140" s="2" t="str">
        <f>_xlfn.XLOOKUP(E140, Product_Master!A:A, Product_Master!B:B)</f>
        <v>Shoes</v>
      </c>
      <c r="I140" s="2" t="str">
        <f>_xlfn.XLOOKUP(E140, Product_Master!A:A, Product_Master!C:C)</f>
        <v>Clothing</v>
      </c>
      <c r="J140" s="2">
        <f>_xlfn.XLOOKUP(E140, Product_Master!A:A, Product_Master!D:D)</f>
        <v>2000</v>
      </c>
      <c r="K140" s="2">
        <f t="shared" si="8"/>
        <v>55790</v>
      </c>
      <c r="L140" s="2">
        <f t="shared" si="9"/>
        <v>20000</v>
      </c>
      <c r="M140" s="2">
        <f t="shared" si="10"/>
        <v>35790</v>
      </c>
      <c r="N140" s="2">
        <f>_xlfn.XLOOKUP(D140, Sales_Rep_Master!A:A, Sales_Rep_Master!B:B)</f>
        <v>900000</v>
      </c>
      <c r="O140" s="4">
        <f t="shared" si="11"/>
        <v>6.1988888888888892E-2</v>
      </c>
    </row>
    <row r="141" spans="1:15" ht="15.75" x14ac:dyDescent="0.25">
      <c r="A141" s="3" t="s">
        <v>287</v>
      </c>
      <c r="B141" s="2" t="s">
        <v>184</v>
      </c>
      <c r="C141" s="2" t="s">
        <v>18</v>
      </c>
      <c r="D141" s="2" t="s">
        <v>54</v>
      </c>
      <c r="E141" s="2" t="s">
        <v>28</v>
      </c>
      <c r="F141" s="2">
        <v>7</v>
      </c>
      <c r="G141" s="2">
        <v>4465</v>
      </c>
      <c r="H141" s="2" t="str">
        <f>_xlfn.XLOOKUP(E141, Product_Master!A:A, Product_Master!B:B)</f>
        <v>Laptop</v>
      </c>
      <c r="I141" s="2" t="str">
        <f>_xlfn.XLOOKUP(E141, Product_Master!A:A, Product_Master!C:C)</f>
        <v>Electronics</v>
      </c>
      <c r="J141" s="2">
        <f>_xlfn.XLOOKUP(E141, Product_Master!A:A, Product_Master!D:D)</f>
        <v>35000</v>
      </c>
      <c r="K141" s="2">
        <f t="shared" si="8"/>
        <v>31255</v>
      </c>
      <c r="L141" s="2">
        <f t="shared" si="9"/>
        <v>245000</v>
      </c>
      <c r="M141" s="2">
        <f t="shared" si="10"/>
        <v>-213745</v>
      </c>
      <c r="N141" s="2">
        <f>_xlfn.XLOOKUP(D141, Sales_Rep_Master!A:A, Sales_Rep_Master!B:B)</f>
        <v>890000</v>
      </c>
      <c r="O141" s="4">
        <f t="shared" si="11"/>
        <v>3.5117977528089886E-2</v>
      </c>
    </row>
    <row r="142" spans="1:15" ht="15.75" hidden="1" x14ac:dyDescent="0.25">
      <c r="A142" s="3" t="s">
        <v>288</v>
      </c>
      <c r="B142" s="2" t="s">
        <v>289</v>
      </c>
      <c r="C142" s="2" t="s">
        <v>26</v>
      </c>
      <c r="D142" s="2" t="s">
        <v>54</v>
      </c>
      <c r="E142" s="2" t="s">
        <v>23</v>
      </c>
      <c r="F142" s="2">
        <v>14</v>
      </c>
      <c r="G142" s="2">
        <v>5674</v>
      </c>
      <c r="H142" s="2" t="str">
        <f>_xlfn.XLOOKUP(E142, Product_Master!A:A, Product_Master!B:B)</f>
        <v>Sofa</v>
      </c>
      <c r="I142" s="2" t="str">
        <f>_xlfn.XLOOKUP(E142, Product_Master!A:A, Product_Master!C:C)</f>
        <v>Furniture</v>
      </c>
      <c r="J142" s="2">
        <f>_xlfn.XLOOKUP(E142, Product_Master!A:A, Product_Master!D:D)</f>
        <v>15000</v>
      </c>
      <c r="K142" s="2">
        <f t="shared" si="8"/>
        <v>79436</v>
      </c>
      <c r="L142" s="2">
        <f t="shared" si="9"/>
        <v>210000</v>
      </c>
      <c r="M142" s="2">
        <f t="shared" si="10"/>
        <v>-130564</v>
      </c>
      <c r="N142" s="2">
        <f>_xlfn.XLOOKUP(D142, Sales_Rep_Master!A:A, Sales_Rep_Master!B:B)</f>
        <v>890000</v>
      </c>
      <c r="O142" s="4">
        <f t="shared" si="11"/>
        <v>8.9253932584269668E-2</v>
      </c>
    </row>
    <row r="143" spans="1:15" ht="15.75" hidden="1" x14ac:dyDescent="0.25">
      <c r="A143" s="3" t="s">
        <v>290</v>
      </c>
      <c r="B143" s="2" t="s">
        <v>291</v>
      </c>
      <c r="C143" s="2" t="s">
        <v>33</v>
      </c>
      <c r="D143" s="2" t="s">
        <v>54</v>
      </c>
      <c r="E143" s="2" t="s">
        <v>34</v>
      </c>
      <c r="F143" s="2">
        <v>8</v>
      </c>
      <c r="G143" s="2">
        <v>2360</v>
      </c>
      <c r="H143" s="2" t="str">
        <f>_xlfn.XLOOKUP(E143, Product_Master!A:A, Product_Master!B:B)</f>
        <v>Jacket</v>
      </c>
      <c r="I143" s="2" t="str">
        <f>_xlfn.XLOOKUP(E143, Product_Master!A:A, Product_Master!C:C)</f>
        <v>Clothing</v>
      </c>
      <c r="J143" s="2">
        <f>_xlfn.XLOOKUP(E143, Product_Master!A:A, Product_Master!D:D)</f>
        <v>1500</v>
      </c>
      <c r="K143" s="2">
        <f t="shared" si="8"/>
        <v>18880</v>
      </c>
      <c r="L143" s="2">
        <f t="shared" si="9"/>
        <v>12000</v>
      </c>
      <c r="M143" s="2">
        <f t="shared" si="10"/>
        <v>6880</v>
      </c>
      <c r="N143" s="2">
        <f>_xlfn.XLOOKUP(D143, Sales_Rep_Master!A:A, Sales_Rep_Master!B:B)</f>
        <v>890000</v>
      </c>
      <c r="O143" s="4">
        <f t="shared" si="11"/>
        <v>2.1213483146067417E-2</v>
      </c>
    </row>
    <row r="144" spans="1:15" ht="15.75" x14ac:dyDescent="0.25">
      <c r="A144" s="3" t="s">
        <v>292</v>
      </c>
      <c r="B144" s="2" t="s">
        <v>293</v>
      </c>
      <c r="C144" s="2" t="s">
        <v>9</v>
      </c>
      <c r="D144" s="2" t="s">
        <v>27</v>
      </c>
      <c r="E144" s="2" t="s">
        <v>20</v>
      </c>
      <c r="F144" s="2">
        <v>15</v>
      </c>
      <c r="G144" s="2">
        <v>1333</v>
      </c>
      <c r="H144" s="2" t="str">
        <f>_xlfn.XLOOKUP(E144, Product_Master!A:A, Product_Master!B:B)</f>
        <v>Headphones</v>
      </c>
      <c r="I144" s="2" t="str">
        <f>_xlfn.XLOOKUP(E144, Product_Master!A:A, Product_Master!C:C)</f>
        <v>Electronics</v>
      </c>
      <c r="J144" s="2">
        <f>_xlfn.XLOOKUP(E144, Product_Master!A:A, Product_Master!D:D)</f>
        <v>2000</v>
      </c>
      <c r="K144" s="2">
        <f t="shared" si="8"/>
        <v>19995</v>
      </c>
      <c r="L144" s="2">
        <f t="shared" si="9"/>
        <v>30000</v>
      </c>
      <c r="M144" s="2">
        <f t="shared" si="10"/>
        <v>-10005</v>
      </c>
      <c r="N144" s="2">
        <f>_xlfn.XLOOKUP(D144, Sales_Rep_Master!A:A, Sales_Rep_Master!B:B)</f>
        <v>800000</v>
      </c>
      <c r="O144" s="4">
        <f t="shared" si="11"/>
        <v>2.4993749999999999E-2</v>
      </c>
    </row>
    <row r="145" spans="1:15" ht="15.75" hidden="1" x14ac:dyDescent="0.25">
      <c r="A145" s="3" t="s">
        <v>294</v>
      </c>
      <c r="B145" s="2" t="s">
        <v>295</v>
      </c>
      <c r="C145" s="2" t="s">
        <v>9</v>
      </c>
      <c r="D145" s="2" t="s">
        <v>152</v>
      </c>
      <c r="E145" s="2" t="s">
        <v>23</v>
      </c>
      <c r="F145" s="2">
        <v>15</v>
      </c>
      <c r="G145" s="2">
        <v>1441</v>
      </c>
      <c r="H145" s="2" t="str">
        <f>_xlfn.XLOOKUP(E145, Product_Master!A:A, Product_Master!B:B)</f>
        <v>Sofa</v>
      </c>
      <c r="I145" s="2" t="str">
        <f>_xlfn.XLOOKUP(E145, Product_Master!A:A, Product_Master!C:C)</f>
        <v>Furniture</v>
      </c>
      <c r="J145" s="2">
        <f>_xlfn.XLOOKUP(E145, Product_Master!A:A, Product_Master!D:D)</f>
        <v>15000</v>
      </c>
      <c r="K145" s="2">
        <f t="shared" si="8"/>
        <v>21615</v>
      </c>
      <c r="L145" s="2">
        <f t="shared" si="9"/>
        <v>225000</v>
      </c>
      <c r="M145" s="2">
        <f t="shared" si="10"/>
        <v>-203385</v>
      </c>
      <c r="N145" s="2">
        <f>_xlfn.XLOOKUP(D145, Sales_Rep_Master!A:A, Sales_Rep_Master!B:B)</f>
        <v>870000</v>
      </c>
      <c r="O145" s="4">
        <f t="shared" si="11"/>
        <v>2.4844827586206895E-2</v>
      </c>
    </row>
    <row r="146" spans="1:15" ht="15.75" x14ac:dyDescent="0.25">
      <c r="A146" s="3" t="s">
        <v>296</v>
      </c>
      <c r="B146" s="2" t="s">
        <v>295</v>
      </c>
      <c r="C146" s="2" t="s">
        <v>26</v>
      </c>
      <c r="D146" s="2" t="s">
        <v>37</v>
      </c>
      <c r="E146" s="2" t="s">
        <v>28</v>
      </c>
      <c r="F146" s="2">
        <v>15</v>
      </c>
      <c r="G146" s="2">
        <v>7149</v>
      </c>
      <c r="H146" s="2" t="str">
        <f>_xlfn.XLOOKUP(E146, Product_Master!A:A, Product_Master!B:B)</f>
        <v>Laptop</v>
      </c>
      <c r="I146" s="2" t="str">
        <f>_xlfn.XLOOKUP(E146, Product_Master!A:A, Product_Master!C:C)</f>
        <v>Electronics</v>
      </c>
      <c r="J146" s="2">
        <f>_xlfn.XLOOKUP(E146, Product_Master!A:A, Product_Master!D:D)</f>
        <v>35000</v>
      </c>
      <c r="K146" s="2">
        <f t="shared" si="8"/>
        <v>107235</v>
      </c>
      <c r="L146" s="2">
        <f t="shared" si="9"/>
        <v>525000</v>
      </c>
      <c r="M146" s="2">
        <f t="shared" si="10"/>
        <v>-417765</v>
      </c>
      <c r="N146" s="2">
        <f>_xlfn.XLOOKUP(D146, Sales_Rep_Master!A:A, Sales_Rep_Master!B:B)</f>
        <v>850000</v>
      </c>
      <c r="O146" s="4">
        <f t="shared" si="11"/>
        <v>0.12615882352941177</v>
      </c>
    </row>
    <row r="147" spans="1:15" ht="15.75" x14ac:dyDescent="0.25">
      <c r="A147" s="3" t="s">
        <v>297</v>
      </c>
      <c r="B147" s="2" t="s">
        <v>298</v>
      </c>
      <c r="C147" s="2" t="s">
        <v>9</v>
      </c>
      <c r="D147" s="2" t="s">
        <v>152</v>
      </c>
      <c r="E147" s="2" t="s">
        <v>11</v>
      </c>
      <c r="F147" s="2">
        <v>2</v>
      </c>
      <c r="G147" s="2">
        <v>2086</v>
      </c>
      <c r="H147" s="2" t="str">
        <f>_xlfn.XLOOKUP(E147, Product_Master!A:A, Product_Master!B:B)</f>
        <v>Mobile</v>
      </c>
      <c r="I147" s="2" t="str">
        <f>_xlfn.XLOOKUP(E147, Product_Master!A:A, Product_Master!C:C)</f>
        <v>Electronics</v>
      </c>
      <c r="J147" s="2">
        <f>_xlfn.XLOOKUP(E147, Product_Master!A:A, Product_Master!D:D)</f>
        <v>18000</v>
      </c>
      <c r="K147" s="2">
        <f t="shared" si="8"/>
        <v>4172</v>
      </c>
      <c r="L147" s="2">
        <f t="shared" si="9"/>
        <v>36000</v>
      </c>
      <c r="M147" s="2">
        <f t="shared" si="10"/>
        <v>-31828</v>
      </c>
      <c r="N147" s="2">
        <f>_xlfn.XLOOKUP(D147, Sales_Rep_Master!A:A, Sales_Rep_Master!B:B)</f>
        <v>870000</v>
      </c>
      <c r="O147" s="4">
        <f t="shared" si="11"/>
        <v>4.7954022988505743E-3</v>
      </c>
    </row>
    <row r="148" spans="1:15" ht="15.75" hidden="1" x14ac:dyDescent="0.25">
      <c r="A148" s="3" t="s">
        <v>299</v>
      </c>
      <c r="B148" s="2" t="s">
        <v>291</v>
      </c>
      <c r="C148" s="2" t="s">
        <v>18</v>
      </c>
      <c r="D148" s="2" t="s">
        <v>27</v>
      </c>
      <c r="E148" s="2" t="s">
        <v>15</v>
      </c>
      <c r="F148" s="2">
        <v>7</v>
      </c>
      <c r="G148" s="2">
        <v>5880</v>
      </c>
      <c r="H148" s="2" t="str">
        <f>_xlfn.XLOOKUP(E148, Product_Master!A:A, Product_Master!B:B)</f>
        <v>Chair</v>
      </c>
      <c r="I148" s="2" t="str">
        <f>_xlfn.XLOOKUP(E148, Product_Master!A:A, Product_Master!C:C)</f>
        <v>Furniture</v>
      </c>
      <c r="J148" s="2">
        <f>_xlfn.XLOOKUP(E148, Product_Master!A:A, Product_Master!D:D)</f>
        <v>2500</v>
      </c>
      <c r="K148" s="2">
        <f t="shared" si="8"/>
        <v>41160</v>
      </c>
      <c r="L148" s="2">
        <f t="shared" si="9"/>
        <v>17500</v>
      </c>
      <c r="M148" s="2">
        <f t="shared" si="10"/>
        <v>23660</v>
      </c>
      <c r="N148" s="2">
        <f>_xlfn.XLOOKUP(D148, Sales_Rep_Master!A:A, Sales_Rep_Master!B:B)</f>
        <v>800000</v>
      </c>
      <c r="O148" s="4">
        <f t="shared" si="11"/>
        <v>5.1450000000000003E-2</v>
      </c>
    </row>
    <row r="149" spans="1:15" ht="15.75" hidden="1" x14ac:dyDescent="0.25">
      <c r="A149" s="3" t="s">
        <v>300</v>
      </c>
      <c r="B149" s="2" t="s">
        <v>36</v>
      </c>
      <c r="C149" s="2" t="s">
        <v>9</v>
      </c>
      <c r="D149" s="2" t="s">
        <v>51</v>
      </c>
      <c r="E149" s="2" t="s">
        <v>61</v>
      </c>
      <c r="F149" s="2">
        <v>11</v>
      </c>
      <c r="G149" s="2">
        <v>3002</v>
      </c>
      <c r="H149" s="2" t="str">
        <f>_xlfn.XLOOKUP(E149, Product_Master!A:A, Product_Master!B:B)</f>
        <v>Shoes</v>
      </c>
      <c r="I149" s="2" t="str">
        <f>_xlfn.XLOOKUP(E149, Product_Master!A:A, Product_Master!C:C)</f>
        <v>Clothing</v>
      </c>
      <c r="J149" s="2">
        <f>_xlfn.XLOOKUP(E149, Product_Master!A:A, Product_Master!D:D)</f>
        <v>2000</v>
      </c>
      <c r="K149" s="2">
        <f t="shared" si="8"/>
        <v>33022</v>
      </c>
      <c r="L149" s="2">
        <f t="shared" si="9"/>
        <v>22000</v>
      </c>
      <c r="M149" s="2">
        <f t="shared" si="10"/>
        <v>11022</v>
      </c>
      <c r="N149" s="2">
        <f>_xlfn.XLOOKUP(D149, Sales_Rep_Master!A:A, Sales_Rep_Master!B:B)</f>
        <v>900000</v>
      </c>
      <c r="O149" s="4">
        <f t="shared" si="11"/>
        <v>3.6691111111111112E-2</v>
      </c>
    </row>
    <row r="150" spans="1:15" ht="15.75" x14ac:dyDescent="0.25">
      <c r="A150" s="3" t="s">
        <v>301</v>
      </c>
      <c r="B150" s="2" t="s">
        <v>302</v>
      </c>
      <c r="C150" s="2" t="s">
        <v>33</v>
      </c>
      <c r="D150" s="2" t="s">
        <v>10</v>
      </c>
      <c r="E150" s="2" t="s">
        <v>28</v>
      </c>
      <c r="F150" s="2">
        <v>2</v>
      </c>
      <c r="G150" s="2">
        <v>6547</v>
      </c>
      <c r="H150" s="2" t="str">
        <f>_xlfn.XLOOKUP(E150, Product_Master!A:A, Product_Master!B:B)</f>
        <v>Laptop</v>
      </c>
      <c r="I150" s="2" t="str">
        <f>_xlfn.XLOOKUP(E150, Product_Master!A:A, Product_Master!C:C)</f>
        <v>Electronics</v>
      </c>
      <c r="J150" s="2">
        <f>_xlfn.XLOOKUP(E150, Product_Master!A:A, Product_Master!D:D)</f>
        <v>35000</v>
      </c>
      <c r="K150" s="2">
        <f t="shared" si="8"/>
        <v>13094</v>
      </c>
      <c r="L150" s="2">
        <f t="shared" si="9"/>
        <v>70000</v>
      </c>
      <c r="M150" s="2">
        <f t="shared" si="10"/>
        <v>-56906</v>
      </c>
      <c r="N150" s="2">
        <f>_xlfn.XLOOKUP(D150, Sales_Rep_Master!A:A, Sales_Rep_Master!B:B)</f>
        <v>920000</v>
      </c>
      <c r="O150" s="4">
        <f t="shared" si="11"/>
        <v>1.4232608695652174E-2</v>
      </c>
    </row>
    <row r="151" spans="1:15" ht="15.75" hidden="1" x14ac:dyDescent="0.25">
      <c r="A151" s="3" t="s">
        <v>303</v>
      </c>
      <c r="B151" s="2" t="s">
        <v>304</v>
      </c>
      <c r="C151" s="2" t="s">
        <v>18</v>
      </c>
      <c r="D151" s="2" t="s">
        <v>14</v>
      </c>
      <c r="E151" s="2" t="s">
        <v>15</v>
      </c>
      <c r="F151" s="2">
        <v>14</v>
      </c>
      <c r="G151" s="2">
        <v>7299</v>
      </c>
      <c r="H151" s="2" t="str">
        <f>_xlfn.XLOOKUP(E151, Product_Master!A:A, Product_Master!B:B)</f>
        <v>Chair</v>
      </c>
      <c r="I151" s="2" t="str">
        <f>_xlfn.XLOOKUP(E151, Product_Master!A:A, Product_Master!C:C)</f>
        <v>Furniture</v>
      </c>
      <c r="J151" s="2">
        <f>_xlfn.XLOOKUP(E151, Product_Master!A:A, Product_Master!D:D)</f>
        <v>2500</v>
      </c>
      <c r="K151" s="2">
        <f t="shared" si="8"/>
        <v>102186</v>
      </c>
      <c r="L151" s="2">
        <f t="shared" si="9"/>
        <v>35000</v>
      </c>
      <c r="M151" s="2">
        <f t="shared" si="10"/>
        <v>67186</v>
      </c>
      <c r="N151" s="2">
        <f>_xlfn.XLOOKUP(D151, Sales_Rep_Master!A:A, Sales_Rep_Master!B:B)</f>
        <v>880000</v>
      </c>
      <c r="O151" s="4">
        <f t="shared" si="11"/>
        <v>0.11612045454545454</v>
      </c>
    </row>
    <row r="152" spans="1:15" ht="15.75" x14ac:dyDescent="0.25">
      <c r="A152" s="3" t="s">
        <v>305</v>
      </c>
      <c r="B152" s="2" t="s">
        <v>306</v>
      </c>
      <c r="C152" s="2" t="s">
        <v>18</v>
      </c>
      <c r="D152" s="2" t="s">
        <v>37</v>
      </c>
      <c r="E152" s="2" t="s">
        <v>11</v>
      </c>
      <c r="F152" s="2">
        <v>10</v>
      </c>
      <c r="G152" s="2">
        <v>957</v>
      </c>
      <c r="H152" s="2" t="str">
        <f>_xlfn.XLOOKUP(E152, Product_Master!A:A, Product_Master!B:B)</f>
        <v>Mobile</v>
      </c>
      <c r="I152" s="2" t="str">
        <f>_xlfn.XLOOKUP(E152, Product_Master!A:A, Product_Master!C:C)</f>
        <v>Electronics</v>
      </c>
      <c r="J152" s="2">
        <f>_xlfn.XLOOKUP(E152, Product_Master!A:A, Product_Master!D:D)</f>
        <v>18000</v>
      </c>
      <c r="K152" s="2">
        <f t="shared" si="8"/>
        <v>9570</v>
      </c>
      <c r="L152" s="2">
        <f t="shared" si="9"/>
        <v>180000</v>
      </c>
      <c r="M152" s="2">
        <f t="shared" si="10"/>
        <v>-170430</v>
      </c>
      <c r="N152" s="2">
        <f>_xlfn.XLOOKUP(D152, Sales_Rep_Master!A:A, Sales_Rep_Master!B:B)</f>
        <v>850000</v>
      </c>
      <c r="O152" s="4">
        <f t="shared" si="11"/>
        <v>1.1258823529411766E-2</v>
      </c>
    </row>
    <row r="153" spans="1:15" ht="15.75" x14ac:dyDescent="0.25">
      <c r="A153" s="3" t="s">
        <v>307</v>
      </c>
      <c r="B153" s="2" t="s">
        <v>121</v>
      </c>
      <c r="C153" s="2" t="s">
        <v>18</v>
      </c>
      <c r="D153" s="2" t="s">
        <v>37</v>
      </c>
      <c r="E153" s="2" t="s">
        <v>11</v>
      </c>
      <c r="F153" s="2">
        <v>13</v>
      </c>
      <c r="G153" s="2">
        <v>4758</v>
      </c>
      <c r="H153" s="2" t="str">
        <f>_xlfn.XLOOKUP(E153, Product_Master!A:A, Product_Master!B:B)</f>
        <v>Mobile</v>
      </c>
      <c r="I153" s="2" t="str">
        <f>_xlfn.XLOOKUP(E153, Product_Master!A:A, Product_Master!C:C)</f>
        <v>Electronics</v>
      </c>
      <c r="J153" s="2">
        <f>_xlfn.XLOOKUP(E153, Product_Master!A:A, Product_Master!D:D)</f>
        <v>18000</v>
      </c>
      <c r="K153" s="2">
        <f t="shared" si="8"/>
        <v>61854</v>
      </c>
      <c r="L153" s="2">
        <f t="shared" si="9"/>
        <v>234000</v>
      </c>
      <c r="M153" s="2">
        <f t="shared" si="10"/>
        <v>-172146</v>
      </c>
      <c r="N153" s="2">
        <f>_xlfn.XLOOKUP(D153, Sales_Rep_Master!A:A, Sales_Rep_Master!B:B)</f>
        <v>850000</v>
      </c>
      <c r="O153" s="4">
        <f t="shared" si="11"/>
        <v>7.2769411764705888E-2</v>
      </c>
    </row>
    <row r="154" spans="1:15" ht="15.75" hidden="1" x14ac:dyDescent="0.25">
      <c r="A154" s="3" t="s">
        <v>308</v>
      </c>
      <c r="B154" s="2" t="s">
        <v>44</v>
      </c>
      <c r="C154" s="2" t="s">
        <v>9</v>
      </c>
      <c r="D154" s="2" t="s">
        <v>54</v>
      </c>
      <c r="E154" s="2" t="s">
        <v>34</v>
      </c>
      <c r="F154" s="2">
        <v>6</v>
      </c>
      <c r="G154" s="2">
        <v>7562</v>
      </c>
      <c r="H154" s="2" t="str">
        <f>_xlfn.XLOOKUP(E154, Product_Master!A:A, Product_Master!B:B)</f>
        <v>Jacket</v>
      </c>
      <c r="I154" s="2" t="str">
        <f>_xlfn.XLOOKUP(E154, Product_Master!A:A, Product_Master!C:C)</f>
        <v>Clothing</v>
      </c>
      <c r="J154" s="2">
        <f>_xlfn.XLOOKUP(E154, Product_Master!A:A, Product_Master!D:D)</f>
        <v>1500</v>
      </c>
      <c r="K154" s="2">
        <f t="shared" si="8"/>
        <v>45372</v>
      </c>
      <c r="L154" s="2">
        <f t="shared" si="9"/>
        <v>9000</v>
      </c>
      <c r="M154" s="2">
        <f t="shared" si="10"/>
        <v>36372</v>
      </c>
      <c r="N154" s="2">
        <f>_xlfn.XLOOKUP(D154, Sales_Rep_Master!A:A, Sales_Rep_Master!B:B)</f>
        <v>890000</v>
      </c>
      <c r="O154" s="4">
        <f t="shared" si="11"/>
        <v>5.0979775280898879E-2</v>
      </c>
    </row>
    <row r="155" spans="1:15" ht="15.75" x14ac:dyDescent="0.25">
      <c r="A155" s="3" t="s">
        <v>309</v>
      </c>
      <c r="B155" s="2" t="s">
        <v>259</v>
      </c>
      <c r="C155" s="2" t="s">
        <v>26</v>
      </c>
      <c r="D155" s="2" t="s">
        <v>54</v>
      </c>
      <c r="E155" s="2" t="s">
        <v>28</v>
      </c>
      <c r="F155" s="2">
        <v>13</v>
      </c>
      <c r="G155" s="2">
        <v>2478</v>
      </c>
      <c r="H155" s="2" t="str">
        <f>_xlfn.XLOOKUP(E155, Product_Master!A:A, Product_Master!B:B)</f>
        <v>Laptop</v>
      </c>
      <c r="I155" s="2" t="str">
        <f>_xlfn.XLOOKUP(E155, Product_Master!A:A, Product_Master!C:C)</f>
        <v>Electronics</v>
      </c>
      <c r="J155" s="2">
        <f>_xlfn.XLOOKUP(E155, Product_Master!A:A, Product_Master!D:D)</f>
        <v>35000</v>
      </c>
      <c r="K155" s="2">
        <f t="shared" si="8"/>
        <v>32214</v>
      </c>
      <c r="L155" s="2">
        <f t="shared" si="9"/>
        <v>455000</v>
      </c>
      <c r="M155" s="2">
        <f t="shared" si="10"/>
        <v>-422786</v>
      </c>
      <c r="N155" s="2">
        <f>_xlfn.XLOOKUP(D155, Sales_Rep_Master!A:A, Sales_Rep_Master!B:B)</f>
        <v>890000</v>
      </c>
      <c r="O155" s="4">
        <f t="shared" si="11"/>
        <v>3.6195505617977526E-2</v>
      </c>
    </row>
    <row r="156" spans="1:15" ht="15.75" x14ac:dyDescent="0.25">
      <c r="A156" s="3" t="s">
        <v>310</v>
      </c>
      <c r="B156" s="2" t="s">
        <v>311</v>
      </c>
      <c r="C156" s="2" t="s">
        <v>18</v>
      </c>
      <c r="D156" s="2" t="s">
        <v>10</v>
      </c>
      <c r="E156" s="2" t="s">
        <v>28</v>
      </c>
      <c r="F156" s="2">
        <v>10</v>
      </c>
      <c r="G156" s="2">
        <v>4064</v>
      </c>
      <c r="H156" s="2" t="str">
        <f>_xlfn.XLOOKUP(E156, Product_Master!A:A, Product_Master!B:B)</f>
        <v>Laptop</v>
      </c>
      <c r="I156" s="2" t="str">
        <f>_xlfn.XLOOKUP(E156, Product_Master!A:A, Product_Master!C:C)</f>
        <v>Electronics</v>
      </c>
      <c r="J156" s="2">
        <f>_xlfn.XLOOKUP(E156, Product_Master!A:A, Product_Master!D:D)</f>
        <v>35000</v>
      </c>
      <c r="K156" s="2">
        <f t="shared" si="8"/>
        <v>40640</v>
      </c>
      <c r="L156" s="2">
        <f t="shared" si="9"/>
        <v>350000</v>
      </c>
      <c r="M156" s="2">
        <f t="shared" si="10"/>
        <v>-309360</v>
      </c>
      <c r="N156" s="2">
        <f>_xlfn.XLOOKUP(D156, Sales_Rep_Master!A:A, Sales_Rep_Master!B:B)</f>
        <v>920000</v>
      </c>
      <c r="O156" s="4">
        <f t="shared" si="11"/>
        <v>4.4173913043478258E-2</v>
      </c>
    </row>
    <row r="157" spans="1:15" ht="15.75" hidden="1" x14ac:dyDescent="0.25">
      <c r="A157" s="3" t="s">
        <v>312</v>
      </c>
      <c r="B157" s="2" t="s">
        <v>313</v>
      </c>
      <c r="C157" s="2" t="s">
        <v>26</v>
      </c>
      <c r="D157" s="2" t="s">
        <v>37</v>
      </c>
      <c r="E157" s="2" t="s">
        <v>61</v>
      </c>
      <c r="F157" s="2">
        <v>10</v>
      </c>
      <c r="G157" s="2">
        <v>1826</v>
      </c>
      <c r="H157" s="2" t="str">
        <f>_xlfn.XLOOKUP(E157, Product_Master!A:A, Product_Master!B:B)</f>
        <v>Shoes</v>
      </c>
      <c r="I157" s="2" t="str">
        <f>_xlfn.XLOOKUP(E157, Product_Master!A:A, Product_Master!C:C)</f>
        <v>Clothing</v>
      </c>
      <c r="J157" s="2">
        <f>_xlfn.XLOOKUP(E157, Product_Master!A:A, Product_Master!D:D)</f>
        <v>2000</v>
      </c>
      <c r="K157" s="2">
        <f t="shared" si="8"/>
        <v>18260</v>
      </c>
      <c r="L157" s="2">
        <f t="shared" si="9"/>
        <v>20000</v>
      </c>
      <c r="M157" s="2">
        <f t="shared" si="10"/>
        <v>-1740</v>
      </c>
      <c r="N157" s="2">
        <f>_xlfn.XLOOKUP(D157, Sales_Rep_Master!A:A, Sales_Rep_Master!B:B)</f>
        <v>850000</v>
      </c>
      <c r="O157" s="4">
        <f t="shared" si="11"/>
        <v>2.148235294117647E-2</v>
      </c>
    </row>
    <row r="158" spans="1:15" ht="15.75" hidden="1" x14ac:dyDescent="0.25">
      <c r="A158" s="3" t="s">
        <v>314</v>
      </c>
      <c r="B158" s="2" t="s">
        <v>315</v>
      </c>
      <c r="C158" s="2" t="s">
        <v>18</v>
      </c>
      <c r="D158" s="2" t="s">
        <v>19</v>
      </c>
      <c r="E158" s="2" t="s">
        <v>23</v>
      </c>
      <c r="F158" s="2">
        <v>14</v>
      </c>
      <c r="G158" s="2">
        <v>1189</v>
      </c>
      <c r="H158" s="2" t="str">
        <f>_xlfn.XLOOKUP(E158, Product_Master!A:A, Product_Master!B:B)</f>
        <v>Sofa</v>
      </c>
      <c r="I158" s="2" t="str">
        <f>_xlfn.XLOOKUP(E158, Product_Master!A:A, Product_Master!C:C)</f>
        <v>Furniture</v>
      </c>
      <c r="J158" s="2">
        <f>_xlfn.XLOOKUP(E158, Product_Master!A:A, Product_Master!D:D)</f>
        <v>15000</v>
      </c>
      <c r="K158" s="2">
        <f t="shared" si="8"/>
        <v>16646</v>
      </c>
      <c r="L158" s="2">
        <f t="shared" si="9"/>
        <v>210000</v>
      </c>
      <c r="M158" s="2">
        <f t="shared" si="10"/>
        <v>-193354</v>
      </c>
      <c r="N158" s="2">
        <f>_xlfn.XLOOKUP(D158, Sales_Rep_Master!A:A, Sales_Rep_Master!B:B)</f>
        <v>950000</v>
      </c>
      <c r="O158" s="4">
        <f t="shared" si="11"/>
        <v>1.7522105263157894E-2</v>
      </c>
    </row>
    <row r="159" spans="1:15" ht="15.75" x14ac:dyDescent="0.25">
      <c r="A159" s="3" t="s">
        <v>316</v>
      </c>
      <c r="B159" s="2" t="s">
        <v>69</v>
      </c>
      <c r="C159" s="2" t="s">
        <v>26</v>
      </c>
      <c r="D159" s="2" t="s">
        <v>51</v>
      </c>
      <c r="E159" s="2" t="s">
        <v>11</v>
      </c>
      <c r="F159" s="2">
        <v>10</v>
      </c>
      <c r="G159" s="2">
        <v>4603</v>
      </c>
      <c r="H159" s="2" t="str">
        <f>_xlfn.XLOOKUP(E159, Product_Master!A:A, Product_Master!B:B)</f>
        <v>Mobile</v>
      </c>
      <c r="I159" s="2" t="str">
        <f>_xlfn.XLOOKUP(E159, Product_Master!A:A, Product_Master!C:C)</f>
        <v>Electronics</v>
      </c>
      <c r="J159" s="2">
        <f>_xlfn.XLOOKUP(E159, Product_Master!A:A, Product_Master!D:D)</f>
        <v>18000</v>
      </c>
      <c r="K159" s="2">
        <f t="shared" si="8"/>
        <v>46030</v>
      </c>
      <c r="L159" s="2">
        <f t="shared" si="9"/>
        <v>180000</v>
      </c>
      <c r="M159" s="2">
        <f t="shared" si="10"/>
        <v>-133970</v>
      </c>
      <c r="N159" s="2">
        <f>_xlfn.XLOOKUP(D159, Sales_Rep_Master!A:A, Sales_Rep_Master!B:B)</f>
        <v>900000</v>
      </c>
      <c r="O159" s="4">
        <f t="shared" si="11"/>
        <v>5.1144444444444444E-2</v>
      </c>
    </row>
    <row r="160" spans="1:15" ht="15.75" hidden="1" x14ac:dyDescent="0.25">
      <c r="A160" s="3" t="s">
        <v>317</v>
      </c>
      <c r="B160" s="2" t="s">
        <v>318</v>
      </c>
      <c r="C160" s="2" t="s">
        <v>9</v>
      </c>
      <c r="D160" s="2" t="s">
        <v>152</v>
      </c>
      <c r="E160" s="2" t="s">
        <v>15</v>
      </c>
      <c r="F160" s="2">
        <v>5</v>
      </c>
      <c r="G160" s="2">
        <v>1755</v>
      </c>
      <c r="H160" s="2" t="str">
        <f>_xlfn.XLOOKUP(E160, Product_Master!A:A, Product_Master!B:B)</f>
        <v>Chair</v>
      </c>
      <c r="I160" s="2" t="str">
        <f>_xlfn.XLOOKUP(E160, Product_Master!A:A, Product_Master!C:C)</f>
        <v>Furniture</v>
      </c>
      <c r="J160" s="2">
        <f>_xlfn.XLOOKUP(E160, Product_Master!A:A, Product_Master!D:D)</f>
        <v>2500</v>
      </c>
      <c r="K160" s="2">
        <f t="shared" si="8"/>
        <v>8775</v>
      </c>
      <c r="L160" s="2">
        <f t="shared" si="9"/>
        <v>12500</v>
      </c>
      <c r="M160" s="2">
        <f t="shared" si="10"/>
        <v>-3725</v>
      </c>
      <c r="N160" s="2">
        <f>_xlfn.XLOOKUP(D160, Sales_Rep_Master!A:A, Sales_Rep_Master!B:B)</f>
        <v>870000</v>
      </c>
      <c r="O160" s="4">
        <f t="shared" si="11"/>
        <v>1.0086206896551724E-2</v>
      </c>
    </row>
    <row r="161" spans="1:15" ht="15.75" hidden="1" x14ac:dyDescent="0.25">
      <c r="A161" s="3" t="s">
        <v>319</v>
      </c>
      <c r="B161" s="2" t="s">
        <v>320</v>
      </c>
      <c r="C161" s="2" t="s">
        <v>9</v>
      </c>
      <c r="D161" s="2" t="s">
        <v>152</v>
      </c>
      <c r="E161" s="2" t="s">
        <v>23</v>
      </c>
      <c r="F161" s="2">
        <v>7</v>
      </c>
      <c r="G161" s="2">
        <v>1500</v>
      </c>
      <c r="H161" s="2" t="str">
        <f>_xlfn.XLOOKUP(E161, Product_Master!A:A, Product_Master!B:B)</f>
        <v>Sofa</v>
      </c>
      <c r="I161" s="2" t="str">
        <f>_xlfn.XLOOKUP(E161, Product_Master!A:A, Product_Master!C:C)</f>
        <v>Furniture</v>
      </c>
      <c r="J161" s="2">
        <f>_xlfn.XLOOKUP(E161, Product_Master!A:A, Product_Master!D:D)</f>
        <v>15000</v>
      </c>
      <c r="K161" s="2">
        <f t="shared" si="8"/>
        <v>10500</v>
      </c>
      <c r="L161" s="2">
        <f t="shared" si="9"/>
        <v>105000</v>
      </c>
      <c r="M161" s="2">
        <f t="shared" si="10"/>
        <v>-94500</v>
      </c>
      <c r="N161" s="2">
        <f>_xlfn.XLOOKUP(D161, Sales_Rep_Master!A:A, Sales_Rep_Master!B:B)</f>
        <v>870000</v>
      </c>
      <c r="O161" s="4">
        <f t="shared" si="11"/>
        <v>1.2068965517241379E-2</v>
      </c>
    </row>
    <row r="162" spans="1:15" ht="15.75" x14ac:dyDescent="0.25">
      <c r="A162" s="3" t="s">
        <v>321</v>
      </c>
      <c r="B162" s="2" t="s">
        <v>79</v>
      </c>
      <c r="C162" s="2" t="s">
        <v>18</v>
      </c>
      <c r="D162" s="2" t="s">
        <v>10</v>
      </c>
      <c r="E162" s="2" t="s">
        <v>20</v>
      </c>
      <c r="F162" s="2">
        <v>15</v>
      </c>
      <c r="G162" s="2">
        <v>6118</v>
      </c>
      <c r="H162" s="2" t="str">
        <f>_xlfn.XLOOKUP(E162, Product_Master!A:A, Product_Master!B:B)</f>
        <v>Headphones</v>
      </c>
      <c r="I162" s="2" t="str">
        <f>_xlfn.XLOOKUP(E162, Product_Master!A:A, Product_Master!C:C)</f>
        <v>Electronics</v>
      </c>
      <c r="J162" s="2">
        <f>_xlfn.XLOOKUP(E162, Product_Master!A:A, Product_Master!D:D)</f>
        <v>2000</v>
      </c>
      <c r="K162" s="2">
        <f t="shared" si="8"/>
        <v>91770</v>
      </c>
      <c r="L162" s="2">
        <f t="shared" si="9"/>
        <v>30000</v>
      </c>
      <c r="M162" s="2">
        <f t="shared" si="10"/>
        <v>61770</v>
      </c>
      <c r="N162" s="2">
        <f>_xlfn.XLOOKUP(D162, Sales_Rep_Master!A:A, Sales_Rep_Master!B:B)</f>
        <v>920000</v>
      </c>
      <c r="O162" s="4">
        <f t="shared" si="11"/>
        <v>9.9750000000000005E-2</v>
      </c>
    </row>
    <row r="163" spans="1:15" ht="15.75" x14ac:dyDescent="0.25">
      <c r="A163" s="3" t="s">
        <v>322</v>
      </c>
      <c r="B163" s="2" t="s">
        <v>323</v>
      </c>
      <c r="C163" s="2" t="s">
        <v>33</v>
      </c>
      <c r="D163" s="2" t="s">
        <v>54</v>
      </c>
      <c r="E163" s="2" t="s">
        <v>20</v>
      </c>
      <c r="F163" s="2">
        <v>4</v>
      </c>
      <c r="G163" s="2">
        <v>1380</v>
      </c>
      <c r="H163" s="2" t="str">
        <f>_xlfn.XLOOKUP(E163, Product_Master!A:A, Product_Master!B:B)</f>
        <v>Headphones</v>
      </c>
      <c r="I163" s="2" t="str">
        <f>_xlfn.XLOOKUP(E163, Product_Master!A:A, Product_Master!C:C)</f>
        <v>Electronics</v>
      </c>
      <c r="J163" s="2">
        <f>_xlfn.XLOOKUP(E163, Product_Master!A:A, Product_Master!D:D)</f>
        <v>2000</v>
      </c>
      <c r="K163" s="2">
        <f t="shared" si="8"/>
        <v>5520</v>
      </c>
      <c r="L163" s="2">
        <f t="shared" si="9"/>
        <v>8000</v>
      </c>
      <c r="M163" s="2">
        <f t="shared" si="10"/>
        <v>-2480</v>
      </c>
      <c r="N163" s="2">
        <f>_xlfn.XLOOKUP(D163, Sales_Rep_Master!A:A, Sales_Rep_Master!B:B)</f>
        <v>890000</v>
      </c>
      <c r="O163" s="4">
        <f t="shared" si="11"/>
        <v>6.2022471910112356E-3</v>
      </c>
    </row>
    <row r="164" spans="1:15" ht="15.75" hidden="1" x14ac:dyDescent="0.25">
      <c r="A164" s="3" t="s">
        <v>324</v>
      </c>
      <c r="B164" s="2" t="s">
        <v>325</v>
      </c>
      <c r="C164" s="2" t="s">
        <v>18</v>
      </c>
      <c r="D164" s="2" t="s">
        <v>19</v>
      </c>
      <c r="E164" s="2" t="s">
        <v>15</v>
      </c>
      <c r="F164" s="2">
        <v>2</v>
      </c>
      <c r="G164" s="2">
        <v>5402</v>
      </c>
      <c r="H164" s="2" t="str">
        <f>_xlfn.XLOOKUP(E164, Product_Master!A:A, Product_Master!B:B)</f>
        <v>Chair</v>
      </c>
      <c r="I164" s="2" t="str">
        <f>_xlfn.XLOOKUP(E164, Product_Master!A:A, Product_Master!C:C)</f>
        <v>Furniture</v>
      </c>
      <c r="J164" s="2">
        <f>_xlfn.XLOOKUP(E164, Product_Master!A:A, Product_Master!D:D)</f>
        <v>2500</v>
      </c>
      <c r="K164" s="2">
        <f t="shared" si="8"/>
        <v>10804</v>
      </c>
      <c r="L164" s="2">
        <f t="shared" si="9"/>
        <v>5000</v>
      </c>
      <c r="M164" s="2">
        <f t="shared" si="10"/>
        <v>5804</v>
      </c>
      <c r="N164" s="2">
        <f>_xlfn.XLOOKUP(D164, Sales_Rep_Master!A:A, Sales_Rep_Master!B:B)</f>
        <v>950000</v>
      </c>
      <c r="O164" s="4">
        <f t="shared" si="11"/>
        <v>1.1372631578947369E-2</v>
      </c>
    </row>
    <row r="165" spans="1:15" ht="15.75" hidden="1" x14ac:dyDescent="0.25">
      <c r="A165" s="3" t="s">
        <v>326</v>
      </c>
      <c r="B165" s="2" t="s">
        <v>327</v>
      </c>
      <c r="C165" s="2" t="s">
        <v>9</v>
      </c>
      <c r="D165" s="2" t="s">
        <v>27</v>
      </c>
      <c r="E165" s="2" t="s">
        <v>34</v>
      </c>
      <c r="F165" s="2">
        <v>6</v>
      </c>
      <c r="G165" s="2">
        <v>1421</v>
      </c>
      <c r="H165" s="2" t="str">
        <f>_xlfn.XLOOKUP(E165, Product_Master!A:A, Product_Master!B:B)</f>
        <v>Jacket</v>
      </c>
      <c r="I165" s="2" t="str">
        <f>_xlfn.XLOOKUP(E165, Product_Master!A:A, Product_Master!C:C)</f>
        <v>Clothing</v>
      </c>
      <c r="J165" s="2">
        <f>_xlfn.XLOOKUP(E165, Product_Master!A:A, Product_Master!D:D)</f>
        <v>1500</v>
      </c>
      <c r="K165" s="2">
        <f t="shared" si="8"/>
        <v>8526</v>
      </c>
      <c r="L165" s="2">
        <f t="shared" si="9"/>
        <v>9000</v>
      </c>
      <c r="M165" s="2">
        <f t="shared" si="10"/>
        <v>-474</v>
      </c>
      <c r="N165" s="2">
        <f>_xlfn.XLOOKUP(D165, Sales_Rep_Master!A:A, Sales_Rep_Master!B:B)</f>
        <v>800000</v>
      </c>
      <c r="O165" s="4">
        <f t="shared" si="11"/>
        <v>1.06575E-2</v>
      </c>
    </row>
    <row r="166" spans="1:15" ht="15.75" hidden="1" x14ac:dyDescent="0.25">
      <c r="A166" s="3" t="s">
        <v>328</v>
      </c>
      <c r="B166" s="2" t="s">
        <v>329</v>
      </c>
      <c r="C166" s="2" t="s">
        <v>26</v>
      </c>
      <c r="D166" s="2" t="s">
        <v>19</v>
      </c>
      <c r="E166" s="2" t="s">
        <v>61</v>
      </c>
      <c r="F166" s="2">
        <v>6</v>
      </c>
      <c r="G166" s="2">
        <v>3760</v>
      </c>
      <c r="H166" s="2" t="str">
        <f>_xlfn.XLOOKUP(E166, Product_Master!A:A, Product_Master!B:B)</f>
        <v>Shoes</v>
      </c>
      <c r="I166" s="2" t="str">
        <f>_xlfn.XLOOKUP(E166, Product_Master!A:A, Product_Master!C:C)</f>
        <v>Clothing</v>
      </c>
      <c r="J166" s="2">
        <f>_xlfn.XLOOKUP(E166, Product_Master!A:A, Product_Master!D:D)</f>
        <v>2000</v>
      </c>
      <c r="K166" s="2">
        <f t="shared" si="8"/>
        <v>22560</v>
      </c>
      <c r="L166" s="2">
        <f t="shared" si="9"/>
        <v>12000</v>
      </c>
      <c r="M166" s="2">
        <f t="shared" si="10"/>
        <v>10560</v>
      </c>
      <c r="N166" s="2">
        <f>_xlfn.XLOOKUP(D166, Sales_Rep_Master!A:A, Sales_Rep_Master!B:B)</f>
        <v>950000</v>
      </c>
      <c r="O166" s="4">
        <f t="shared" si="11"/>
        <v>2.3747368421052632E-2</v>
      </c>
    </row>
    <row r="167" spans="1:15" ht="15.75" hidden="1" x14ac:dyDescent="0.25">
      <c r="A167" s="3" t="s">
        <v>330</v>
      </c>
      <c r="B167" s="2" t="s">
        <v>331</v>
      </c>
      <c r="C167" s="2" t="s">
        <v>18</v>
      </c>
      <c r="D167" s="2" t="s">
        <v>152</v>
      </c>
      <c r="E167" s="2" t="s">
        <v>23</v>
      </c>
      <c r="F167" s="2">
        <v>9</v>
      </c>
      <c r="G167" s="2">
        <v>2883</v>
      </c>
      <c r="H167" s="2" t="str">
        <f>_xlfn.XLOOKUP(E167, Product_Master!A:A, Product_Master!B:B)</f>
        <v>Sofa</v>
      </c>
      <c r="I167" s="2" t="str">
        <f>_xlfn.XLOOKUP(E167, Product_Master!A:A, Product_Master!C:C)</f>
        <v>Furniture</v>
      </c>
      <c r="J167" s="2">
        <f>_xlfn.XLOOKUP(E167, Product_Master!A:A, Product_Master!D:D)</f>
        <v>15000</v>
      </c>
      <c r="K167" s="2">
        <f t="shared" si="8"/>
        <v>25947</v>
      </c>
      <c r="L167" s="2">
        <f t="shared" si="9"/>
        <v>135000</v>
      </c>
      <c r="M167" s="2">
        <f t="shared" si="10"/>
        <v>-109053</v>
      </c>
      <c r="N167" s="2">
        <f>_xlfn.XLOOKUP(D167, Sales_Rep_Master!A:A, Sales_Rep_Master!B:B)</f>
        <v>870000</v>
      </c>
      <c r="O167" s="4">
        <f t="shared" si="11"/>
        <v>2.9824137931034483E-2</v>
      </c>
    </row>
    <row r="168" spans="1:15" ht="15.75" hidden="1" x14ac:dyDescent="0.25">
      <c r="A168" s="3" t="s">
        <v>332</v>
      </c>
      <c r="B168" s="2" t="s">
        <v>333</v>
      </c>
      <c r="C168" s="2" t="s">
        <v>26</v>
      </c>
      <c r="D168" s="2" t="s">
        <v>19</v>
      </c>
      <c r="E168" s="2" t="s">
        <v>23</v>
      </c>
      <c r="F168" s="2">
        <v>13</v>
      </c>
      <c r="G168" s="2">
        <v>2772</v>
      </c>
      <c r="H168" s="2" t="str">
        <f>_xlfn.XLOOKUP(E168, Product_Master!A:A, Product_Master!B:B)</f>
        <v>Sofa</v>
      </c>
      <c r="I168" s="2" t="str">
        <f>_xlfn.XLOOKUP(E168, Product_Master!A:A, Product_Master!C:C)</f>
        <v>Furniture</v>
      </c>
      <c r="J168" s="2">
        <f>_xlfn.XLOOKUP(E168, Product_Master!A:A, Product_Master!D:D)</f>
        <v>15000</v>
      </c>
      <c r="K168" s="2">
        <f t="shared" si="8"/>
        <v>36036</v>
      </c>
      <c r="L168" s="2">
        <f t="shared" si="9"/>
        <v>195000</v>
      </c>
      <c r="M168" s="2">
        <f t="shared" si="10"/>
        <v>-158964</v>
      </c>
      <c r="N168" s="2">
        <f>_xlfn.XLOOKUP(D168, Sales_Rep_Master!A:A, Sales_Rep_Master!B:B)</f>
        <v>950000</v>
      </c>
      <c r="O168" s="4">
        <f t="shared" si="11"/>
        <v>3.7932631578947371E-2</v>
      </c>
    </row>
    <row r="169" spans="1:15" ht="15.75" x14ac:dyDescent="0.25">
      <c r="A169" s="3" t="s">
        <v>334</v>
      </c>
      <c r="B169" s="2" t="s">
        <v>335</v>
      </c>
      <c r="C169" s="2" t="s">
        <v>18</v>
      </c>
      <c r="D169" s="2" t="s">
        <v>51</v>
      </c>
      <c r="E169" s="2" t="s">
        <v>20</v>
      </c>
      <c r="F169" s="2">
        <v>13</v>
      </c>
      <c r="G169" s="2">
        <v>1797</v>
      </c>
      <c r="H169" s="2" t="str">
        <f>_xlfn.XLOOKUP(E169, Product_Master!A:A, Product_Master!B:B)</f>
        <v>Headphones</v>
      </c>
      <c r="I169" s="2" t="str">
        <f>_xlfn.XLOOKUP(E169, Product_Master!A:A, Product_Master!C:C)</f>
        <v>Electronics</v>
      </c>
      <c r="J169" s="2">
        <f>_xlfn.XLOOKUP(E169, Product_Master!A:A, Product_Master!D:D)</f>
        <v>2000</v>
      </c>
      <c r="K169" s="2">
        <f t="shared" si="8"/>
        <v>23361</v>
      </c>
      <c r="L169" s="2">
        <f t="shared" si="9"/>
        <v>26000</v>
      </c>
      <c r="M169" s="2">
        <f t="shared" si="10"/>
        <v>-2639</v>
      </c>
      <c r="N169" s="2">
        <f>_xlfn.XLOOKUP(D169, Sales_Rep_Master!A:A, Sales_Rep_Master!B:B)</f>
        <v>900000</v>
      </c>
      <c r="O169" s="4">
        <f t="shared" si="11"/>
        <v>2.5956666666666666E-2</v>
      </c>
    </row>
    <row r="170" spans="1:15" ht="15.75" hidden="1" x14ac:dyDescent="0.25">
      <c r="A170" s="3" t="s">
        <v>336</v>
      </c>
      <c r="B170" s="2" t="s">
        <v>171</v>
      </c>
      <c r="C170" s="2" t="s">
        <v>33</v>
      </c>
      <c r="D170" s="2" t="s">
        <v>10</v>
      </c>
      <c r="E170" s="2" t="s">
        <v>40</v>
      </c>
      <c r="F170" s="2">
        <v>4</v>
      </c>
      <c r="G170" s="2">
        <v>672</v>
      </c>
      <c r="H170" s="2" t="str">
        <f>_xlfn.XLOOKUP(E170, Product_Master!A:A, Product_Master!B:B)</f>
        <v>Table</v>
      </c>
      <c r="I170" s="2" t="str">
        <f>_xlfn.XLOOKUP(E170, Product_Master!A:A, Product_Master!C:C)</f>
        <v>Furniture</v>
      </c>
      <c r="J170" s="2">
        <f>_xlfn.XLOOKUP(E170, Product_Master!A:A, Product_Master!D:D)</f>
        <v>7000</v>
      </c>
      <c r="K170" s="2">
        <f t="shared" si="8"/>
        <v>2688</v>
      </c>
      <c r="L170" s="2">
        <f t="shared" si="9"/>
        <v>28000</v>
      </c>
      <c r="M170" s="2">
        <f t="shared" si="10"/>
        <v>-25312</v>
      </c>
      <c r="N170" s="2">
        <f>_xlfn.XLOOKUP(D170, Sales_Rep_Master!A:A, Sales_Rep_Master!B:B)</f>
        <v>920000</v>
      </c>
      <c r="O170" s="4">
        <f t="shared" si="11"/>
        <v>2.9217391304347828E-3</v>
      </c>
    </row>
    <row r="171" spans="1:15" ht="15.75" hidden="1" x14ac:dyDescent="0.25">
      <c r="A171" s="3" t="s">
        <v>337</v>
      </c>
      <c r="B171" s="2" t="s">
        <v>338</v>
      </c>
      <c r="C171" s="2" t="s">
        <v>26</v>
      </c>
      <c r="D171" s="2" t="s">
        <v>19</v>
      </c>
      <c r="E171" s="2" t="s">
        <v>15</v>
      </c>
      <c r="F171" s="2">
        <v>12</v>
      </c>
      <c r="G171" s="2">
        <v>2262</v>
      </c>
      <c r="H171" s="2" t="str">
        <f>_xlfn.XLOOKUP(E171, Product_Master!A:A, Product_Master!B:B)</f>
        <v>Chair</v>
      </c>
      <c r="I171" s="2" t="str">
        <f>_xlfn.XLOOKUP(E171, Product_Master!A:A, Product_Master!C:C)</f>
        <v>Furniture</v>
      </c>
      <c r="J171" s="2">
        <f>_xlfn.XLOOKUP(E171, Product_Master!A:A, Product_Master!D:D)</f>
        <v>2500</v>
      </c>
      <c r="K171" s="2">
        <f t="shared" si="8"/>
        <v>27144</v>
      </c>
      <c r="L171" s="2">
        <f t="shared" si="9"/>
        <v>30000</v>
      </c>
      <c r="M171" s="2">
        <f t="shared" si="10"/>
        <v>-2856</v>
      </c>
      <c r="N171" s="2">
        <f>_xlfn.XLOOKUP(D171, Sales_Rep_Master!A:A, Sales_Rep_Master!B:B)</f>
        <v>950000</v>
      </c>
      <c r="O171" s="4">
        <f t="shared" si="11"/>
        <v>2.8572631578947367E-2</v>
      </c>
    </row>
    <row r="172" spans="1:15" ht="15.75" hidden="1" x14ac:dyDescent="0.25">
      <c r="A172" s="3" t="s">
        <v>339</v>
      </c>
      <c r="B172" s="2" t="s">
        <v>230</v>
      </c>
      <c r="C172" s="2" t="s">
        <v>18</v>
      </c>
      <c r="D172" s="2" t="s">
        <v>51</v>
      </c>
      <c r="E172" s="2" t="s">
        <v>15</v>
      </c>
      <c r="F172" s="2">
        <v>8</v>
      </c>
      <c r="G172" s="2">
        <v>4164</v>
      </c>
      <c r="H172" s="2" t="str">
        <f>_xlfn.XLOOKUP(E172, Product_Master!A:A, Product_Master!B:B)</f>
        <v>Chair</v>
      </c>
      <c r="I172" s="2" t="str">
        <f>_xlfn.XLOOKUP(E172, Product_Master!A:A, Product_Master!C:C)</f>
        <v>Furniture</v>
      </c>
      <c r="J172" s="2">
        <f>_xlfn.XLOOKUP(E172, Product_Master!A:A, Product_Master!D:D)</f>
        <v>2500</v>
      </c>
      <c r="K172" s="2">
        <f t="shared" si="8"/>
        <v>33312</v>
      </c>
      <c r="L172" s="2">
        <f t="shared" si="9"/>
        <v>20000</v>
      </c>
      <c r="M172" s="2">
        <f t="shared" si="10"/>
        <v>13312</v>
      </c>
      <c r="N172" s="2">
        <f>_xlfn.XLOOKUP(D172, Sales_Rep_Master!A:A, Sales_Rep_Master!B:B)</f>
        <v>900000</v>
      </c>
      <c r="O172" s="4">
        <f t="shared" si="11"/>
        <v>3.7013333333333336E-2</v>
      </c>
    </row>
    <row r="173" spans="1:15" ht="15.75" x14ac:dyDescent="0.25">
      <c r="A173" s="3" t="s">
        <v>340</v>
      </c>
      <c r="B173" s="2" t="s">
        <v>341</v>
      </c>
      <c r="C173" s="2" t="s">
        <v>9</v>
      </c>
      <c r="D173" s="2" t="s">
        <v>54</v>
      </c>
      <c r="E173" s="2" t="s">
        <v>11</v>
      </c>
      <c r="F173" s="2">
        <v>2</v>
      </c>
      <c r="G173" s="2">
        <v>3017</v>
      </c>
      <c r="H173" s="2" t="str">
        <f>_xlfn.XLOOKUP(E173, Product_Master!A:A, Product_Master!B:B)</f>
        <v>Mobile</v>
      </c>
      <c r="I173" s="2" t="str">
        <f>_xlfn.XLOOKUP(E173, Product_Master!A:A, Product_Master!C:C)</f>
        <v>Electronics</v>
      </c>
      <c r="J173" s="2">
        <f>_xlfn.XLOOKUP(E173, Product_Master!A:A, Product_Master!D:D)</f>
        <v>18000</v>
      </c>
      <c r="K173" s="2">
        <f t="shared" si="8"/>
        <v>6034</v>
      </c>
      <c r="L173" s="2">
        <f t="shared" si="9"/>
        <v>36000</v>
      </c>
      <c r="M173" s="2">
        <f t="shared" si="10"/>
        <v>-29966</v>
      </c>
      <c r="N173" s="2">
        <f>_xlfn.XLOOKUP(D173, Sales_Rep_Master!A:A, Sales_Rep_Master!B:B)</f>
        <v>890000</v>
      </c>
      <c r="O173" s="4">
        <f t="shared" si="11"/>
        <v>6.7797752808988762E-3</v>
      </c>
    </row>
    <row r="174" spans="1:15" ht="15.75" hidden="1" x14ac:dyDescent="0.25">
      <c r="A174" s="3" t="s">
        <v>342</v>
      </c>
      <c r="B174" s="2" t="s">
        <v>343</v>
      </c>
      <c r="C174" s="2" t="s">
        <v>9</v>
      </c>
      <c r="D174" s="2" t="s">
        <v>37</v>
      </c>
      <c r="E174" s="2" t="s">
        <v>23</v>
      </c>
      <c r="F174" s="2">
        <v>4</v>
      </c>
      <c r="G174" s="2">
        <v>7487</v>
      </c>
      <c r="H174" s="2" t="str">
        <f>_xlfn.XLOOKUP(E174, Product_Master!A:A, Product_Master!B:B)</f>
        <v>Sofa</v>
      </c>
      <c r="I174" s="2" t="str">
        <f>_xlfn.XLOOKUP(E174, Product_Master!A:A, Product_Master!C:C)</f>
        <v>Furniture</v>
      </c>
      <c r="J174" s="2">
        <f>_xlfn.XLOOKUP(E174, Product_Master!A:A, Product_Master!D:D)</f>
        <v>15000</v>
      </c>
      <c r="K174" s="2">
        <f t="shared" si="8"/>
        <v>29948</v>
      </c>
      <c r="L174" s="2">
        <f t="shared" si="9"/>
        <v>60000</v>
      </c>
      <c r="M174" s="2">
        <f t="shared" si="10"/>
        <v>-30052</v>
      </c>
      <c r="N174" s="2">
        <f>_xlfn.XLOOKUP(D174, Sales_Rep_Master!A:A, Sales_Rep_Master!B:B)</f>
        <v>850000</v>
      </c>
      <c r="O174" s="4">
        <f t="shared" si="11"/>
        <v>3.5232941176470585E-2</v>
      </c>
    </row>
    <row r="175" spans="1:15" ht="15.75" hidden="1" x14ac:dyDescent="0.25">
      <c r="A175" s="3" t="s">
        <v>344</v>
      </c>
      <c r="B175" s="2" t="s">
        <v>345</v>
      </c>
      <c r="C175" s="2" t="s">
        <v>18</v>
      </c>
      <c r="D175" s="2" t="s">
        <v>37</v>
      </c>
      <c r="E175" s="2" t="s">
        <v>15</v>
      </c>
      <c r="F175" s="2">
        <v>3</v>
      </c>
      <c r="G175" s="2">
        <v>4358</v>
      </c>
      <c r="H175" s="2" t="str">
        <f>_xlfn.XLOOKUP(E175, Product_Master!A:A, Product_Master!B:B)</f>
        <v>Chair</v>
      </c>
      <c r="I175" s="2" t="str">
        <f>_xlfn.XLOOKUP(E175, Product_Master!A:A, Product_Master!C:C)</f>
        <v>Furniture</v>
      </c>
      <c r="J175" s="2">
        <f>_xlfn.XLOOKUP(E175, Product_Master!A:A, Product_Master!D:D)</f>
        <v>2500</v>
      </c>
      <c r="K175" s="2">
        <f t="shared" si="8"/>
        <v>13074</v>
      </c>
      <c r="L175" s="2">
        <f t="shared" si="9"/>
        <v>7500</v>
      </c>
      <c r="M175" s="2">
        <f t="shared" si="10"/>
        <v>5574</v>
      </c>
      <c r="N175" s="2">
        <f>_xlfn.XLOOKUP(D175, Sales_Rep_Master!A:A, Sales_Rep_Master!B:B)</f>
        <v>850000</v>
      </c>
      <c r="O175" s="4">
        <f t="shared" si="11"/>
        <v>1.5381176470588235E-2</v>
      </c>
    </row>
    <row r="176" spans="1:15" ht="15.75" x14ac:dyDescent="0.25">
      <c r="A176" s="3" t="s">
        <v>346</v>
      </c>
      <c r="B176" s="2" t="s">
        <v>347</v>
      </c>
      <c r="C176" s="2" t="s">
        <v>33</v>
      </c>
      <c r="D176" s="2" t="s">
        <v>54</v>
      </c>
      <c r="E176" s="2" t="s">
        <v>20</v>
      </c>
      <c r="F176" s="2">
        <v>5</v>
      </c>
      <c r="G176" s="2">
        <v>4048</v>
      </c>
      <c r="H176" s="2" t="str">
        <f>_xlfn.XLOOKUP(E176, Product_Master!A:A, Product_Master!B:B)</f>
        <v>Headphones</v>
      </c>
      <c r="I176" s="2" t="str">
        <f>_xlfn.XLOOKUP(E176, Product_Master!A:A, Product_Master!C:C)</f>
        <v>Electronics</v>
      </c>
      <c r="J176" s="2">
        <f>_xlfn.XLOOKUP(E176, Product_Master!A:A, Product_Master!D:D)</f>
        <v>2000</v>
      </c>
      <c r="K176" s="2">
        <f t="shared" si="8"/>
        <v>20240</v>
      </c>
      <c r="L176" s="2">
        <f t="shared" si="9"/>
        <v>10000</v>
      </c>
      <c r="M176" s="2">
        <f t="shared" si="10"/>
        <v>10240</v>
      </c>
      <c r="N176" s="2">
        <f>_xlfn.XLOOKUP(D176, Sales_Rep_Master!A:A, Sales_Rep_Master!B:B)</f>
        <v>890000</v>
      </c>
      <c r="O176" s="4">
        <f t="shared" si="11"/>
        <v>2.2741573033707864E-2</v>
      </c>
    </row>
    <row r="177" spans="1:15" ht="15.75" x14ac:dyDescent="0.25">
      <c r="A177" s="3" t="s">
        <v>348</v>
      </c>
      <c r="B177" s="2" t="s">
        <v>349</v>
      </c>
      <c r="C177" s="2" t="s">
        <v>18</v>
      </c>
      <c r="D177" s="2" t="s">
        <v>54</v>
      </c>
      <c r="E177" s="2" t="s">
        <v>28</v>
      </c>
      <c r="F177" s="2">
        <v>15</v>
      </c>
      <c r="G177" s="2">
        <v>6588</v>
      </c>
      <c r="H177" s="2" t="str">
        <f>_xlfn.XLOOKUP(E177, Product_Master!A:A, Product_Master!B:B)</f>
        <v>Laptop</v>
      </c>
      <c r="I177" s="2" t="str">
        <f>_xlfn.XLOOKUP(E177, Product_Master!A:A, Product_Master!C:C)</f>
        <v>Electronics</v>
      </c>
      <c r="J177" s="2">
        <f>_xlfn.XLOOKUP(E177, Product_Master!A:A, Product_Master!D:D)</f>
        <v>35000</v>
      </c>
      <c r="K177" s="2">
        <f t="shared" si="8"/>
        <v>98820</v>
      </c>
      <c r="L177" s="2">
        <f t="shared" si="9"/>
        <v>525000</v>
      </c>
      <c r="M177" s="2">
        <f t="shared" si="10"/>
        <v>-426180</v>
      </c>
      <c r="N177" s="2">
        <f>_xlfn.XLOOKUP(D177, Sales_Rep_Master!A:A, Sales_Rep_Master!B:B)</f>
        <v>890000</v>
      </c>
      <c r="O177" s="4">
        <f t="shared" si="11"/>
        <v>0.11103370786516854</v>
      </c>
    </row>
    <row r="178" spans="1:15" ht="15.75" x14ac:dyDescent="0.25">
      <c r="A178" s="3" t="s">
        <v>350</v>
      </c>
      <c r="B178" s="2" t="s">
        <v>351</v>
      </c>
      <c r="C178" s="2" t="s">
        <v>26</v>
      </c>
      <c r="D178" s="2" t="s">
        <v>54</v>
      </c>
      <c r="E178" s="2" t="s">
        <v>20</v>
      </c>
      <c r="F178" s="2">
        <v>10</v>
      </c>
      <c r="G178" s="2">
        <v>2739</v>
      </c>
      <c r="H178" s="2" t="str">
        <f>_xlfn.XLOOKUP(E178, Product_Master!A:A, Product_Master!B:B)</f>
        <v>Headphones</v>
      </c>
      <c r="I178" s="2" t="str">
        <f>_xlfn.XLOOKUP(E178, Product_Master!A:A, Product_Master!C:C)</f>
        <v>Electronics</v>
      </c>
      <c r="J178" s="2">
        <f>_xlfn.XLOOKUP(E178, Product_Master!A:A, Product_Master!D:D)</f>
        <v>2000</v>
      </c>
      <c r="K178" s="2">
        <f t="shared" si="8"/>
        <v>27390</v>
      </c>
      <c r="L178" s="2">
        <f t="shared" si="9"/>
        <v>20000</v>
      </c>
      <c r="M178" s="2">
        <f t="shared" si="10"/>
        <v>7390</v>
      </c>
      <c r="N178" s="2">
        <f>_xlfn.XLOOKUP(D178, Sales_Rep_Master!A:A, Sales_Rep_Master!B:B)</f>
        <v>890000</v>
      </c>
      <c r="O178" s="4">
        <f t="shared" si="11"/>
        <v>3.0775280898876406E-2</v>
      </c>
    </row>
    <row r="179" spans="1:15" ht="15.75" x14ac:dyDescent="0.25">
      <c r="A179" s="3" t="s">
        <v>352</v>
      </c>
      <c r="B179" s="2" t="s">
        <v>106</v>
      </c>
      <c r="C179" s="2" t="s">
        <v>33</v>
      </c>
      <c r="D179" s="2" t="s">
        <v>14</v>
      </c>
      <c r="E179" s="2" t="s">
        <v>28</v>
      </c>
      <c r="F179" s="2">
        <v>13</v>
      </c>
      <c r="G179" s="2">
        <v>3044</v>
      </c>
      <c r="H179" s="2" t="str">
        <f>_xlfn.XLOOKUP(E179, Product_Master!A:A, Product_Master!B:B)</f>
        <v>Laptop</v>
      </c>
      <c r="I179" s="2" t="str">
        <f>_xlfn.XLOOKUP(E179, Product_Master!A:A, Product_Master!C:C)</f>
        <v>Electronics</v>
      </c>
      <c r="J179" s="2">
        <f>_xlfn.XLOOKUP(E179, Product_Master!A:A, Product_Master!D:D)</f>
        <v>35000</v>
      </c>
      <c r="K179" s="2">
        <f t="shared" si="8"/>
        <v>39572</v>
      </c>
      <c r="L179" s="2">
        <f t="shared" si="9"/>
        <v>455000</v>
      </c>
      <c r="M179" s="2">
        <f t="shared" si="10"/>
        <v>-415428</v>
      </c>
      <c r="N179" s="2">
        <f>_xlfn.XLOOKUP(D179, Sales_Rep_Master!A:A, Sales_Rep_Master!B:B)</f>
        <v>880000</v>
      </c>
      <c r="O179" s="4">
        <f t="shared" si="11"/>
        <v>4.4968181818181817E-2</v>
      </c>
    </row>
    <row r="180" spans="1:15" ht="15.75" hidden="1" x14ac:dyDescent="0.25">
      <c r="A180" s="3" t="s">
        <v>353</v>
      </c>
      <c r="B180" s="2" t="s">
        <v>354</v>
      </c>
      <c r="C180" s="2" t="s">
        <v>18</v>
      </c>
      <c r="D180" s="2" t="s">
        <v>54</v>
      </c>
      <c r="E180" s="2" t="s">
        <v>23</v>
      </c>
      <c r="F180" s="2">
        <v>9</v>
      </c>
      <c r="G180" s="2">
        <v>3321</v>
      </c>
      <c r="H180" s="2" t="str">
        <f>_xlfn.XLOOKUP(E180, Product_Master!A:A, Product_Master!B:B)</f>
        <v>Sofa</v>
      </c>
      <c r="I180" s="2" t="str">
        <f>_xlfn.XLOOKUP(E180, Product_Master!A:A, Product_Master!C:C)</f>
        <v>Furniture</v>
      </c>
      <c r="J180" s="2">
        <f>_xlfn.XLOOKUP(E180, Product_Master!A:A, Product_Master!D:D)</f>
        <v>15000</v>
      </c>
      <c r="K180" s="2">
        <f t="shared" si="8"/>
        <v>29889</v>
      </c>
      <c r="L180" s="2">
        <f t="shared" si="9"/>
        <v>135000</v>
      </c>
      <c r="M180" s="2">
        <f t="shared" si="10"/>
        <v>-105111</v>
      </c>
      <c r="N180" s="2">
        <f>_xlfn.XLOOKUP(D180, Sales_Rep_Master!A:A, Sales_Rep_Master!B:B)</f>
        <v>890000</v>
      </c>
      <c r="O180" s="4">
        <f t="shared" si="11"/>
        <v>3.3583146067415727E-2</v>
      </c>
    </row>
    <row r="181" spans="1:15" ht="15.75" hidden="1" x14ac:dyDescent="0.25">
      <c r="A181" s="3" t="s">
        <v>355</v>
      </c>
      <c r="B181" s="2" t="s">
        <v>65</v>
      </c>
      <c r="C181" s="2" t="s">
        <v>9</v>
      </c>
      <c r="D181" s="2" t="s">
        <v>10</v>
      </c>
      <c r="E181" s="2" t="s">
        <v>40</v>
      </c>
      <c r="F181" s="2">
        <v>6</v>
      </c>
      <c r="G181" s="2">
        <v>5079</v>
      </c>
      <c r="H181" s="2" t="str">
        <f>_xlfn.XLOOKUP(E181, Product_Master!A:A, Product_Master!B:B)</f>
        <v>Table</v>
      </c>
      <c r="I181" s="2" t="str">
        <f>_xlfn.XLOOKUP(E181, Product_Master!A:A, Product_Master!C:C)</f>
        <v>Furniture</v>
      </c>
      <c r="J181" s="2">
        <f>_xlfn.XLOOKUP(E181, Product_Master!A:A, Product_Master!D:D)</f>
        <v>7000</v>
      </c>
      <c r="K181" s="2">
        <f t="shared" si="8"/>
        <v>30474</v>
      </c>
      <c r="L181" s="2">
        <f t="shared" si="9"/>
        <v>42000</v>
      </c>
      <c r="M181" s="2">
        <f t="shared" si="10"/>
        <v>-11526</v>
      </c>
      <c r="N181" s="2">
        <f>_xlfn.XLOOKUP(D181, Sales_Rep_Master!A:A, Sales_Rep_Master!B:B)</f>
        <v>920000</v>
      </c>
      <c r="O181" s="4">
        <f t="shared" si="11"/>
        <v>3.3123913043478261E-2</v>
      </c>
    </row>
    <row r="182" spans="1:15" ht="15.75" hidden="1" x14ac:dyDescent="0.25">
      <c r="A182" s="3" t="s">
        <v>356</v>
      </c>
      <c r="B182" s="2" t="s">
        <v>357</v>
      </c>
      <c r="C182" s="2" t="s">
        <v>9</v>
      </c>
      <c r="D182" s="2" t="s">
        <v>54</v>
      </c>
      <c r="E182" s="2" t="s">
        <v>34</v>
      </c>
      <c r="F182" s="2">
        <v>5</v>
      </c>
      <c r="G182" s="2">
        <v>6198</v>
      </c>
      <c r="H182" s="2" t="str">
        <f>_xlfn.XLOOKUP(E182, Product_Master!A:A, Product_Master!B:B)</f>
        <v>Jacket</v>
      </c>
      <c r="I182" s="2" t="str">
        <f>_xlfn.XLOOKUP(E182, Product_Master!A:A, Product_Master!C:C)</f>
        <v>Clothing</v>
      </c>
      <c r="J182" s="2">
        <f>_xlfn.XLOOKUP(E182, Product_Master!A:A, Product_Master!D:D)</f>
        <v>1500</v>
      </c>
      <c r="K182" s="2">
        <f t="shared" si="8"/>
        <v>30990</v>
      </c>
      <c r="L182" s="2">
        <f t="shared" si="9"/>
        <v>7500</v>
      </c>
      <c r="M182" s="2">
        <f t="shared" si="10"/>
        <v>23490</v>
      </c>
      <c r="N182" s="2">
        <f>_xlfn.XLOOKUP(D182, Sales_Rep_Master!A:A, Sales_Rep_Master!B:B)</f>
        <v>890000</v>
      </c>
      <c r="O182" s="4">
        <f t="shared" si="11"/>
        <v>3.4820224719101123E-2</v>
      </c>
    </row>
    <row r="183" spans="1:15" ht="15.75" x14ac:dyDescent="0.25">
      <c r="A183" s="3" t="s">
        <v>358</v>
      </c>
      <c r="B183" s="2" t="s">
        <v>359</v>
      </c>
      <c r="C183" s="2" t="s">
        <v>33</v>
      </c>
      <c r="D183" s="2" t="s">
        <v>37</v>
      </c>
      <c r="E183" s="2" t="s">
        <v>28</v>
      </c>
      <c r="F183" s="2">
        <v>14</v>
      </c>
      <c r="G183" s="2">
        <v>3298</v>
      </c>
      <c r="H183" s="2" t="str">
        <f>_xlfn.XLOOKUP(E183, Product_Master!A:A, Product_Master!B:B)</f>
        <v>Laptop</v>
      </c>
      <c r="I183" s="2" t="str">
        <f>_xlfn.XLOOKUP(E183, Product_Master!A:A, Product_Master!C:C)</f>
        <v>Electronics</v>
      </c>
      <c r="J183" s="2">
        <f>_xlfn.XLOOKUP(E183, Product_Master!A:A, Product_Master!D:D)</f>
        <v>35000</v>
      </c>
      <c r="K183" s="2">
        <f t="shared" si="8"/>
        <v>46172</v>
      </c>
      <c r="L183" s="2">
        <f t="shared" si="9"/>
        <v>490000</v>
      </c>
      <c r="M183" s="2">
        <f t="shared" si="10"/>
        <v>-443828</v>
      </c>
      <c r="N183" s="2">
        <f>_xlfn.XLOOKUP(D183, Sales_Rep_Master!A:A, Sales_Rep_Master!B:B)</f>
        <v>850000</v>
      </c>
      <c r="O183" s="4">
        <f t="shared" si="11"/>
        <v>5.432E-2</v>
      </c>
    </row>
    <row r="184" spans="1:15" ht="15.75" x14ac:dyDescent="0.25">
      <c r="A184" s="3" t="s">
        <v>360</v>
      </c>
      <c r="B184" s="2" t="s">
        <v>361</v>
      </c>
      <c r="C184" s="2" t="s">
        <v>9</v>
      </c>
      <c r="D184" s="2" t="s">
        <v>152</v>
      </c>
      <c r="E184" s="2" t="s">
        <v>11</v>
      </c>
      <c r="F184" s="2">
        <v>7</v>
      </c>
      <c r="G184" s="2">
        <v>5745</v>
      </c>
      <c r="H184" s="2" t="str">
        <f>_xlfn.XLOOKUP(E184, Product_Master!A:A, Product_Master!B:B)</f>
        <v>Mobile</v>
      </c>
      <c r="I184" s="2" t="str">
        <f>_xlfn.XLOOKUP(E184, Product_Master!A:A, Product_Master!C:C)</f>
        <v>Electronics</v>
      </c>
      <c r="J184" s="2">
        <f>_xlfn.XLOOKUP(E184, Product_Master!A:A, Product_Master!D:D)</f>
        <v>18000</v>
      </c>
      <c r="K184" s="2">
        <f t="shared" si="8"/>
        <v>40215</v>
      </c>
      <c r="L184" s="2">
        <f t="shared" si="9"/>
        <v>126000</v>
      </c>
      <c r="M184" s="2">
        <f t="shared" si="10"/>
        <v>-85785</v>
      </c>
      <c r="N184" s="2">
        <f>_xlfn.XLOOKUP(D184, Sales_Rep_Master!A:A, Sales_Rep_Master!B:B)</f>
        <v>870000</v>
      </c>
      <c r="O184" s="4">
        <f t="shared" si="11"/>
        <v>4.6224137931034484E-2</v>
      </c>
    </row>
    <row r="185" spans="1:15" ht="15.75" hidden="1" x14ac:dyDescent="0.25">
      <c r="A185" s="3" t="s">
        <v>362</v>
      </c>
      <c r="B185" s="2" t="s">
        <v>209</v>
      </c>
      <c r="C185" s="2" t="s">
        <v>26</v>
      </c>
      <c r="D185" s="2" t="s">
        <v>37</v>
      </c>
      <c r="E185" s="2" t="s">
        <v>61</v>
      </c>
      <c r="F185" s="2">
        <v>10</v>
      </c>
      <c r="G185" s="2">
        <v>1524</v>
      </c>
      <c r="H185" s="2" t="str">
        <f>_xlfn.XLOOKUP(E185, Product_Master!A:A, Product_Master!B:B)</f>
        <v>Shoes</v>
      </c>
      <c r="I185" s="2" t="str">
        <f>_xlfn.XLOOKUP(E185, Product_Master!A:A, Product_Master!C:C)</f>
        <v>Clothing</v>
      </c>
      <c r="J185" s="2">
        <f>_xlfn.XLOOKUP(E185, Product_Master!A:A, Product_Master!D:D)</f>
        <v>2000</v>
      </c>
      <c r="K185" s="2">
        <f t="shared" si="8"/>
        <v>15240</v>
      </c>
      <c r="L185" s="2">
        <f t="shared" si="9"/>
        <v>20000</v>
      </c>
      <c r="M185" s="2">
        <f t="shared" si="10"/>
        <v>-4760</v>
      </c>
      <c r="N185" s="2">
        <f>_xlfn.XLOOKUP(D185, Sales_Rep_Master!A:A, Sales_Rep_Master!B:B)</f>
        <v>850000</v>
      </c>
      <c r="O185" s="4">
        <f t="shared" si="11"/>
        <v>1.7929411764705881E-2</v>
      </c>
    </row>
    <row r="186" spans="1:15" ht="15.75" hidden="1" x14ac:dyDescent="0.25">
      <c r="A186" s="3" t="s">
        <v>363</v>
      </c>
      <c r="B186" s="2" t="s">
        <v>364</v>
      </c>
      <c r="C186" s="2" t="s">
        <v>18</v>
      </c>
      <c r="D186" s="2" t="s">
        <v>37</v>
      </c>
      <c r="E186" s="2" t="s">
        <v>34</v>
      </c>
      <c r="F186" s="2">
        <v>8</v>
      </c>
      <c r="G186" s="2">
        <v>7205</v>
      </c>
      <c r="H186" s="2" t="str">
        <f>_xlfn.XLOOKUP(E186, Product_Master!A:A, Product_Master!B:B)</f>
        <v>Jacket</v>
      </c>
      <c r="I186" s="2" t="str">
        <f>_xlfn.XLOOKUP(E186, Product_Master!A:A, Product_Master!C:C)</f>
        <v>Clothing</v>
      </c>
      <c r="J186" s="2">
        <f>_xlfn.XLOOKUP(E186, Product_Master!A:A, Product_Master!D:D)</f>
        <v>1500</v>
      </c>
      <c r="K186" s="2">
        <f t="shared" si="8"/>
        <v>57640</v>
      </c>
      <c r="L186" s="2">
        <f t="shared" si="9"/>
        <v>12000</v>
      </c>
      <c r="M186" s="2">
        <f t="shared" si="10"/>
        <v>45640</v>
      </c>
      <c r="N186" s="2">
        <f>_xlfn.XLOOKUP(D186, Sales_Rep_Master!A:A, Sales_Rep_Master!B:B)</f>
        <v>850000</v>
      </c>
      <c r="O186" s="4">
        <f t="shared" si="11"/>
        <v>6.7811764705882349E-2</v>
      </c>
    </row>
    <row r="187" spans="1:15" ht="15.75" hidden="1" x14ac:dyDescent="0.25">
      <c r="A187" s="3" t="s">
        <v>365</v>
      </c>
      <c r="B187" s="2" t="s">
        <v>366</v>
      </c>
      <c r="C187" s="2" t="s">
        <v>9</v>
      </c>
      <c r="D187" s="2" t="s">
        <v>37</v>
      </c>
      <c r="E187" s="2" t="s">
        <v>15</v>
      </c>
      <c r="F187" s="2">
        <v>14</v>
      </c>
      <c r="G187" s="2">
        <v>3804</v>
      </c>
      <c r="H187" s="2" t="str">
        <f>_xlfn.XLOOKUP(E187, Product_Master!A:A, Product_Master!B:B)</f>
        <v>Chair</v>
      </c>
      <c r="I187" s="2" t="str">
        <f>_xlfn.XLOOKUP(E187, Product_Master!A:A, Product_Master!C:C)</f>
        <v>Furniture</v>
      </c>
      <c r="J187" s="2">
        <f>_xlfn.XLOOKUP(E187, Product_Master!A:A, Product_Master!D:D)</f>
        <v>2500</v>
      </c>
      <c r="K187" s="2">
        <f t="shared" si="8"/>
        <v>53256</v>
      </c>
      <c r="L187" s="2">
        <f t="shared" si="9"/>
        <v>35000</v>
      </c>
      <c r="M187" s="2">
        <f t="shared" si="10"/>
        <v>18256</v>
      </c>
      <c r="N187" s="2">
        <f>_xlfn.XLOOKUP(D187, Sales_Rep_Master!A:A, Sales_Rep_Master!B:B)</f>
        <v>850000</v>
      </c>
      <c r="O187" s="4">
        <f t="shared" si="11"/>
        <v>6.2654117647058818E-2</v>
      </c>
    </row>
    <row r="188" spans="1:15" ht="15.75" x14ac:dyDescent="0.25">
      <c r="A188" s="3" t="s">
        <v>367</v>
      </c>
      <c r="B188" s="2" t="s">
        <v>368</v>
      </c>
      <c r="C188" s="2" t="s">
        <v>9</v>
      </c>
      <c r="D188" s="2" t="s">
        <v>10</v>
      </c>
      <c r="E188" s="2" t="s">
        <v>20</v>
      </c>
      <c r="F188" s="2">
        <v>13</v>
      </c>
      <c r="G188" s="2">
        <v>5721</v>
      </c>
      <c r="H188" s="2" t="str">
        <f>_xlfn.XLOOKUP(E188, Product_Master!A:A, Product_Master!B:B)</f>
        <v>Headphones</v>
      </c>
      <c r="I188" s="2" t="str">
        <f>_xlfn.XLOOKUP(E188, Product_Master!A:A, Product_Master!C:C)</f>
        <v>Electronics</v>
      </c>
      <c r="J188" s="2">
        <f>_xlfn.XLOOKUP(E188, Product_Master!A:A, Product_Master!D:D)</f>
        <v>2000</v>
      </c>
      <c r="K188" s="2">
        <f t="shared" si="8"/>
        <v>74373</v>
      </c>
      <c r="L188" s="2">
        <f t="shared" si="9"/>
        <v>26000</v>
      </c>
      <c r="M188" s="2">
        <f t="shared" si="10"/>
        <v>48373</v>
      </c>
      <c r="N188" s="2">
        <f>_xlfn.XLOOKUP(D188, Sales_Rep_Master!A:A, Sales_Rep_Master!B:B)</f>
        <v>920000</v>
      </c>
      <c r="O188" s="4">
        <f t="shared" si="11"/>
        <v>8.0840217391304342E-2</v>
      </c>
    </row>
    <row r="189" spans="1:15" ht="15.75" hidden="1" x14ac:dyDescent="0.25">
      <c r="A189" s="3" t="s">
        <v>369</v>
      </c>
      <c r="B189" s="2" t="s">
        <v>298</v>
      </c>
      <c r="C189" s="2" t="s">
        <v>26</v>
      </c>
      <c r="D189" s="2" t="s">
        <v>14</v>
      </c>
      <c r="E189" s="2" t="s">
        <v>34</v>
      </c>
      <c r="F189" s="2">
        <v>3</v>
      </c>
      <c r="G189" s="2">
        <v>1436</v>
      </c>
      <c r="H189" s="2" t="str">
        <f>_xlfn.XLOOKUP(E189, Product_Master!A:A, Product_Master!B:B)</f>
        <v>Jacket</v>
      </c>
      <c r="I189" s="2" t="str">
        <f>_xlfn.XLOOKUP(E189, Product_Master!A:A, Product_Master!C:C)</f>
        <v>Clothing</v>
      </c>
      <c r="J189" s="2">
        <f>_xlfn.XLOOKUP(E189, Product_Master!A:A, Product_Master!D:D)</f>
        <v>1500</v>
      </c>
      <c r="K189" s="2">
        <f t="shared" si="8"/>
        <v>4308</v>
      </c>
      <c r="L189" s="2">
        <f t="shared" si="9"/>
        <v>4500</v>
      </c>
      <c r="M189" s="2">
        <f t="shared" si="10"/>
        <v>-192</v>
      </c>
      <c r="N189" s="2">
        <f>_xlfn.XLOOKUP(D189, Sales_Rep_Master!A:A, Sales_Rep_Master!B:B)</f>
        <v>880000</v>
      </c>
      <c r="O189" s="4">
        <f t="shared" si="11"/>
        <v>4.8954545454545457E-3</v>
      </c>
    </row>
    <row r="190" spans="1:15" ht="15.75" hidden="1" x14ac:dyDescent="0.25">
      <c r="A190" s="3" t="s">
        <v>370</v>
      </c>
      <c r="B190" s="2" t="s">
        <v>371</v>
      </c>
      <c r="C190" s="2" t="s">
        <v>9</v>
      </c>
      <c r="D190" s="2" t="s">
        <v>37</v>
      </c>
      <c r="E190" s="2" t="s">
        <v>61</v>
      </c>
      <c r="F190" s="2">
        <v>15</v>
      </c>
      <c r="G190" s="2">
        <v>3758</v>
      </c>
      <c r="H190" s="2" t="str">
        <f>_xlfn.XLOOKUP(E190, Product_Master!A:A, Product_Master!B:B)</f>
        <v>Shoes</v>
      </c>
      <c r="I190" s="2" t="str">
        <f>_xlfn.XLOOKUP(E190, Product_Master!A:A, Product_Master!C:C)</f>
        <v>Clothing</v>
      </c>
      <c r="J190" s="2">
        <f>_xlfn.XLOOKUP(E190, Product_Master!A:A, Product_Master!D:D)</f>
        <v>2000</v>
      </c>
      <c r="K190" s="2">
        <f t="shared" si="8"/>
        <v>56370</v>
      </c>
      <c r="L190" s="2">
        <f t="shared" si="9"/>
        <v>30000</v>
      </c>
      <c r="M190" s="2">
        <f t="shared" si="10"/>
        <v>26370</v>
      </c>
      <c r="N190" s="2">
        <f>_xlfn.XLOOKUP(D190, Sales_Rep_Master!A:A, Sales_Rep_Master!B:B)</f>
        <v>850000</v>
      </c>
      <c r="O190" s="4">
        <f t="shared" si="11"/>
        <v>6.6317647058823523E-2</v>
      </c>
    </row>
    <row r="191" spans="1:15" ht="15.75" x14ac:dyDescent="0.25">
      <c r="A191" s="3" t="s">
        <v>372</v>
      </c>
      <c r="B191" s="2" t="s">
        <v>119</v>
      </c>
      <c r="C191" s="2" t="s">
        <v>18</v>
      </c>
      <c r="D191" s="2" t="s">
        <v>152</v>
      </c>
      <c r="E191" s="2" t="s">
        <v>28</v>
      </c>
      <c r="F191" s="2">
        <v>14</v>
      </c>
      <c r="G191" s="2">
        <v>5919</v>
      </c>
      <c r="H191" s="2" t="str">
        <f>_xlfn.XLOOKUP(E191, Product_Master!A:A, Product_Master!B:B)</f>
        <v>Laptop</v>
      </c>
      <c r="I191" s="2" t="str">
        <f>_xlfn.XLOOKUP(E191, Product_Master!A:A, Product_Master!C:C)</f>
        <v>Electronics</v>
      </c>
      <c r="J191" s="2">
        <f>_xlfn.XLOOKUP(E191, Product_Master!A:A, Product_Master!D:D)</f>
        <v>35000</v>
      </c>
      <c r="K191" s="2">
        <f t="shared" si="8"/>
        <v>82866</v>
      </c>
      <c r="L191" s="2">
        <f t="shared" si="9"/>
        <v>490000</v>
      </c>
      <c r="M191" s="2">
        <f t="shared" si="10"/>
        <v>-407134</v>
      </c>
      <c r="N191" s="2">
        <f>_xlfn.XLOOKUP(D191, Sales_Rep_Master!A:A, Sales_Rep_Master!B:B)</f>
        <v>870000</v>
      </c>
      <c r="O191" s="4">
        <f t="shared" si="11"/>
        <v>9.5248275862068965E-2</v>
      </c>
    </row>
    <row r="192" spans="1:15" ht="15.75" hidden="1" x14ac:dyDescent="0.25">
      <c r="A192" s="3" t="s">
        <v>373</v>
      </c>
      <c r="B192" s="2" t="s">
        <v>253</v>
      </c>
      <c r="C192" s="2" t="s">
        <v>26</v>
      </c>
      <c r="D192" s="2" t="s">
        <v>54</v>
      </c>
      <c r="E192" s="2" t="s">
        <v>40</v>
      </c>
      <c r="F192" s="2">
        <v>1</v>
      </c>
      <c r="G192" s="2">
        <v>2065</v>
      </c>
      <c r="H192" s="2" t="str">
        <f>_xlfn.XLOOKUP(E192, Product_Master!A:A, Product_Master!B:B)</f>
        <v>Table</v>
      </c>
      <c r="I192" s="2" t="str">
        <f>_xlfn.XLOOKUP(E192, Product_Master!A:A, Product_Master!C:C)</f>
        <v>Furniture</v>
      </c>
      <c r="J192" s="2">
        <f>_xlfn.XLOOKUP(E192, Product_Master!A:A, Product_Master!D:D)</f>
        <v>7000</v>
      </c>
      <c r="K192" s="2">
        <f t="shared" si="8"/>
        <v>2065</v>
      </c>
      <c r="L192" s="2">
        <f t="shared" si="9"/>
        <v>7000</v>
      </c>
      <c r="M192" s="2">
        <f t="shared" si="10"/>
        <v>-4935</v>
      </c>
      <c r="N192" s="2">
        <f>_xlfn.XLOOKUP(D192, Sales_Rep_Master!A:A, Sales_Rep_Master!B:B)</f>
        <v>890000</v>
      </c>
      <c r="O192" s="4">
        <f t="shared" si="11"/>
        <v>2.3202247191011238E-3</v>
      </c>
    </row>
    <row r="193" spans="1:15" ht="15.75" hidden="1" x14ac:dyDescent="0.25">
      <c r="A193" s="3" t="s">
        <v>374</v>
      </c>
      <c r="B193" s="2" t="s">
        <v>375</v>
      </c>
      <c r="C193" s="2" t="s">
        <v>9</v>
      </c>
      <c r="D193" s="2" t="s">
        <v>10</v>
      </c>
      <c r="E193" s="2" t="s">
        <v>40</v>
      </c>
      <c r="F193" s="2">
        <v>12</v>
      </c>
      <c r="G193" s="2">
        <v>1039</v>
      </c>
      <c r="H193" s="2" t="str">
        <f>_xlfn.XLOOKUP(E193, Product_Master!A:A, Product_Master!B:B)</f>
        <v>Table</v>
      </c>
      <c r="I193" s="2" t="str">
        <f>_xlfn.XLOOKUP(E193, Product_Master!A:A, Product_Master!C:C)</f>
        <v>Furniture</v>
      </c>
      <c r="J193" s="2">
        <f>_xlfn.XLOOKUP(E193, Product_Master!A:A, Product_Master!D:D)</f>
        <v>7000</v>
      </c>
      <c r="K193" s="2">
        <f t="shared" si="8"/>
        <v>12468</v>
      </c>
      <c r="L193" s="2">
        <f t="shared" si="9"/>
        <v>84000</v>
      </c>
      <c r="M193" s="2">
        <f t="shared" si="10"/>
        <v>-71532</v>
      </c>
      <c r="N193" s="2">
        <f>_xlfn.XLOOKUP(D193, Sales_Rep_Master!A:A, Sales_Rep_Master!B:B)</f>
        <v>920000</v>
      </c>
      <c r="O193" s="4">
        <f t="shared" si="11"/>
        <v>1.3552173913043478E-2</v>
      </c>
    </row>
    <row r="194" spans="1:15" ht="15.75" x14ac:dyDescent="0.25">
      <c r="A194" s="3" t="s">
        <v>376</v>
      </c>
      <c r="B194" s="2" t="s">
        <v>65</v>
      </c>
      <c r="C194" s="2" t="s">
        <v>18</v>
      </c>
      <c r="D194" s="2" t="s">
        <v>152</v>
      </c>
      <c r="E194" s="2" t="s">
        <v>20</v>
      </c>
      <c r="F194" s="2">
        <v>12</v>
      </c>
      <c r="G194" s="2">
        <v>5255</v>
      </c>
      <c r="H194" s="2" t="str">
        <f>_xlfn.XLOOKUP(E194, Product_Master!A:A, Product_Master!B:B)</f>
        <v>Headphones</v>
      </c>
      <c r="I194" s="2" t="str">
        <f>_xlfn.XLOOKUP(E194, Product_Master!A:A, Product_Master!C:C)</f>
        <v>Electronics</v>
      </c>
      <c r="J194" s="2">
        <f>_xlfn.XLOOKUP(E194, Product_Master!A:A, Product_Master!D:D)</f>
        <v>2000</v>
      </c>
      <c r="K194" s="2">
        <f t="shared" ref="K194:K257" si="12">F194*G194</f>
        <v>63060</v>
      </c>
      <c r="L194" s="2">
        <f t="shared" ref="L194:L257" si="13">F194*J194</f>
        <v>24000</v>
      </c>
      <c r="M194" s="2">
        <f t="shared" ref="M194:M257" si="14">K194-L194</f>
        <v>39060</v>
      </c>
      <c r="N194" s="2">
        <f>_xlfn.XLOOKUP(D194, Sales_Rep_Master!A:A, Sales_Rep_Master!B:B)</f>
        <v>870000</v>
      </c>
      <c r="O194" s="4">
        <f t="shared" ref="O194:O257" si="15">K194/N194</f>
        <v>7.2482758620689661E-2</v>
      </c>
    </row>
    <row r="195" spans="1:15" ht="15.75" x14ac:dyDescent="0.25">
      <c r="A195" s="3" t="s">
        <v>377</v>
      </c>
      <c r="B195" s="2" t="s">
        <v>133</v>
      </c>
      <c r="C195" s="2" t="s">
        <v>18</v>
      </c>
      <c r="D195" s="2" t="s">
        <v>19</v>
      </c>
      <c r="E195" s="2" t="s">
        <v>28</v>
      </c>
      <c r="F195" s="2">
        <v>4</v>
      </c>
      <c r="G195" s="2">
        <v>4646</v>
      </c>
      <c r="H195" s="2" t="str">
        <f>_xlfn.XLOOKUP(E195, Product_Master!A:A, Product_Master!B:B)</f>
        <v>Laptop</v>
      </c>
      <c r="I195" s="2" t="str">
        <f>_xlfn.XLOOKUP(E195, Product_Master!A:A, Product_Master!C:C)</f>
        <v>Electronics</v>
      </c>
      <c r="J195" s="2">
        <f>_xlfn.XLOOKUP(E195, Product_Master!A:A, Product_Master!D:D)</f>
        <v>35000</v>
      </c>
      <c r="K195" s="2">
        <f t="shared" si="12"/>
        <v>18584</v>
      </c>
      <c r="L195" s="2">
        <f t="shared" si="13"/>
        <v>140000</v>
      </c>
      <c r="M195" s="2">
        <f t="shared" si="14"/>
        <v>-121416</v>
      </c>
      <c r="N195" s="2">
        <f>_xlfn.XLOOKUP(D195, Sales_Rep_Master!A:A, Sales_Rep_Master!B:B)</f>
        <v>950000</v>
      </c>
      <c r="O195" s="4">
        <f t="shared" si="15"/>
        <v>1.9562105263157895E-2</v>
      </c>
    </row>
    <row r="196" spans="1:15" ht="15.75" x14ac:dyDescent="0.25">
      <c r="A196" s="3" t="s">
        <v>378</v>
      </c>
      <c r="B196" s="2" t="s">
        <v>143</v>
      </c>
      <c r="C196" s="2" t="s">
        <v>33</v>
      </c>
      <c r="D196" s="2" t="s">
        <v>37</v>
      </c>
      <c r="E196" s="2" t="s">
        <v>11</v>
      </c>
      <c r="F196" s="2">
        <v>9</v>
      </c>
      <c r="G196" s="2">
        <v>5986</v>
      </c>
      <c r="H196" s="2" t="str">
        <f>_xlfn.XLOOKUP(E196, Product_Master!A:A, Product_Master!B:B)</f>
        <v>Mobile</v>
      </c>
      <c r="I196" s="2" t="str">
        <f>_xlfn.XLOOKUP(E196, Product_Master!A:A, Product_Master!C:C)</f>
        <v>Electronics</v>
      </c>
      <c r="J196" s="2">
        <f>_xlfn.XLOOKUP(E196, Product_Master!A:A, Product_Master!D:D)</f>
        <v>18000</v>
      </c>
      <c r="K196" s="2">
        <f t="shared" si="12"/>
        <v>53874</v>
      </c>
      <c r="L196" s="2">
        <f t="shared" si="13"/>
        <v>162000</v>
      </c>
      <c r="M196" s="2">
        <f t="shared" si="14"/>
        <v>-108126</v>
      </c>
      <c r="N196" s="2">
        <f>_xlfn.XLOOKUP(D196, Sales_Rep_Master!A:A, Sales_Rep_Master!B:B)</f>
        <v>850000</v>
      </c>
      <c r="O196" s="4">
        <f t="shared" si="15"/>
        <v>6.3381176470588232E-2</v>
      </c>
    </row>
    <row r="197" spans="1:15" ht="15.75" hidden="1" x14ac:dyDescent="0.25">
      <c r="A197" s="3" t="s">
        <v>379</v>
      </c>
      <c r="B197" s="2" t="s">
        <v>380</v>
      </c>
      <c r="C197" s="2" t="s">
        <v>33</v>
      </c>
      <c r="D197" s="2" t="s">
        <v>19</v>
      </c>
      <c r="E197" s="2" t="s">
        <v>15</v>
      </c>
      <c r="F197" s="2">
        <v>9</v>
      </c>
      <c r="G197" s="2">
        <v>1828</v>
      </c>
      <c r="H197" s="2" t="str">
        <f>_xlfn.XLOOKUP(E197, Product_Master!A:A, Product_Master!B:B)</f>
        <v>Chair</v>
      </c>
      <c r="I197" s="2" t="str">
        <f>_xlfn.XLOOKUP(E197, Product_Master!A:A, Product_Master!C:C)</f>
        <v>Furniture</v>
      </c>
      <c r="J197" s="2">
        <f>_xlfn.XLOOKUP(E197, Product_Master!A:A, Product_Master!D:D)</f>
        <v>2500</v>
      </c>
      <c r="K197" s="2">
        <f t="shared" si="12"/>
        <v>16452</v>
      </c>
      <c r="L197" s="2">
        <f t="shared" si="13"/>
        <v>22500</v>
      </c>
      <c r="M197" s="2">
        <f t="shared" si="14"/>
        <v>-6048</v>
      </c>
      <c r="N197" s="2">
        <f>_xlfn.XLOOKUP(D197, Sales_Rep_Master!A:A, Sales_Rep_Master!B:B)</f>
        <v>950000</v>
      </c>
      <c r="O197" s="4">
        <f t="shared" si="15"/>
        <v>1.7317894736842105E-2</v>
      </c>
    </row>
    <row r="198" spans="1:15" ht="15.75" x14ac:dyDescent="0.25">
      <c r="A198" s="3" t="s">
        <v>381</v>
      </c>
      <c r="B198" s="2" t="s">
        <v>382</v>
      </c>
      <c r="C198" s="2" t="s">
        <v>33</v>
      </c>
      <c r="D198" s="2" t="s">
        <v>27</v>
      </c>
      <c r="E198" s="2" t="s">
        <v>11</v>
      </c>
      <c r="F198" s="2">
        <v>13</v>
      </c>
      <c r="G198" s="2">
        <v>5495</v>
      </c>
      <c r="H198" s="2" t="str">
        <f>_xlfn.XLOOKUP(E198, Product_Master!A:A, Product_Master!B:B)</f>
        <v>Mobile</v>
      </c>
      <c r="I198" s="2" t="str">
        <f>_xlfn.XLOOKUP(E198, Product_Master!A:A, Product_Master!C:C)</f>
        <v>Electronics</v>
      </c>
      <c r="J198" s="2">
        <f>_xlfn.XLOOKUP(E198, Product_Master!A:A, Product_Master!D:D)</f>
        <v>18000</v>
      </c>
      <c r="K198" s="2">
        <f t="shared" si="12"/>
        <v>71435</v>
      </c>
      <c r="L198" s="2">
        <f t="shared" si="13"/>
        <v>234000</v>
      </c>
      <c r="M198" s="2">
        <f t="shared" si="14"/>
        <v>-162565</v>
      </c>
      <c r="N198" s="2">
        <f>_xlfn.XLOOKUP(D198, Sales_Rep_Master!A:A, Sales_Rep_Master!B:B)</f>
        <v>800000</v>
      </c>
      <c r="O198" s="4">
        <f t="shared" si="15"/>
        <v>8.9293750000000005E-2</v>
      </c>
    </row>
    <row r="199" spans="1:15" ht="15.75" hidden="1" x14ac:dyDescent="0.25">
      <c r="A199" s="3" t="s">
        <v>383</v>
      </c>
      <c r="B199" s="2" t="s">
        <v>384</v>
      </c>
      <c r="C199" s="2" t="s">
        <v>26</v>
      </c>
      <c r="D199" s="2" t="s">
        <v>19</v>
      </c>
      <c r="E199" s="2" t="s">
        <v>15</v>
      </c>
      <c r="F199" s="2">
        <v>11</v>
      </c>
      <c r="G199" s="2">
        <v>5825</v>
      </c>
      <c r="H199" s="2" t="str">
        <f>_xlfn.XLOOKUP(E199, Product_Master!A:A, Product_Master!B:B)</f>
        <v>Chair</v>
      </c>
      <c r="I199" s="2" t="str">
        <f>_xlfn.XLOOKUP(E199, Product_Master!A:A, Product_Master!C:C)</f>
        <v>Furniture</v>
      </c>
      <c r="J199" s="2">
        <f>_xlfn.XLOOKUP(E199, Product_Master!A:A, Product_Master!D:D)</f>
        <v>2500</v>
      </c>
      <c r="K199" s="2">
        <f t="shared" si="12"/>
        <v>64075</v>
      </c>
      <c r="L199" s="2">
        <f t="shared" si="13"/>
        <v>27500</v>
      </c>
      <c r="M199" s="2">
        <f t="shared" si="14"/>
        <v>36575</v>
      </c>
      <c r="N199" s="2">
        <f>_xlfn.XLOOKUP(D199, Sales_Rep_Master!A:A, Sales_Rep_Master!B:B)</f>
        <v>950000</v>
      </c>
      <c r="O199" s="4">
        <f t="shared" si="15"/>
        <v>6.7447368421052631E-2</v>
      </c>
    </row>
    <row r="200" spans="1:15" ht="15.75" hidden="1" x14ac:dyDescent="0.25">
      <c r="A200" s="3" t="s">
        <v>385</v>
      </c>
      <c r="B200" s="2" t="s">
        <v>386</v>
      </c>
      <c r="C200" s="2" t="s">
        <v>26</v>
      </c>
      <c r="D200" s="2" t="s">
        <v>51</v>
      </c>
      <c r="E200" s="2" t="s">
        <v>15</v>
      </c>
      <c r="F200" s="2">
        <v>5</v>
      </c>
      <c r="G200" s="2">
        <v>4320</v>
      </c>
      <c r="H200" s="2" t="str">
        <f>_xlfn.XLOOKUP(E200, Product_Master!A:A, Product_Master!B:B)</f>
        <v>Chair</v>
      </c>
      <c r="I200" s="2" t="str">
        <f>_xlfn.XLOOKUP(E200, Product_Master!A:A, Product_Master!C:C)</f>
        <v>Furniture</v>
      </c>
      <c r="J200" s="2">
        <f>_xlfn.XLOOKUP(E200, Product_Master!A:A, Product_Master!D:D)</f>
        <v>2500</v>
      </c>
      <c r="K200" s="2">
        <f t="shared" si="12"/>
        <v>21600</v>
      </c>
      <c r="L200" s="2">
        <f t="shared" si="13"/>
        <v>12500</v>
      </c>
      <c r="M200" s="2">
        <f t="shared" si="14"/>
        <v>9100</v>
      </c>
      <c r="N200" s="2">
        <f>_xlfn.XLOOKUP(D200, Sales_Rep_Master!A:A, Sales_Rep_Master!B:B)</f>
        <v>900000</v>
      </c>
      <c r="O200" s="4">
        <f t="shared" si="15"/>
        <v>2.4E-2</v>
      </c>
    </row>
    <row r="201" spans="1:15" ht="15.75" hidden="1" x14ac:dyDescent="0.25">
      <c r="A201" s="3" t="s">
        <v>387</v>
      </c>
      <c r="B201" s="2" t="s">
        <v>63</v>
      </c>
      <c r="C201" s="2" t="s">
        <v>9</v>
      </c>
      <c r="D201" s="2" t="s">
        <v>27</v>
      </c>
      <c r="E201" s="2" t="s">
        <v>23</v>
      </c>
      <c r="F201" s="2">
        <v>7</v>
      </c>
      <c r="G201" s="2">
        <v>1176</v>
      </c>
      <c r="H201" s="2" t="str">
        <f>_xlfn.XLOOKUP(E201, Product_Master!A:A, Product_Master!B:B)</f>
        <v>Sofa</v>
      </c>
      <c r="I201" s="2" t="str">
        <f>_xlfn.XLOOKUP(E201, Product_Master!A:A, Product_Master!C:C)</f>
        <v>Furniture</v>
      </c>
      <c r="J201" s="2">
        <f>_xlfn.XLOOKUP(E201, Product_Master!A:A, Product_Master!D:D)</f>
        <v>15000</v>
      </c>
      <c r="K201" s="2">
        <f t="shared" si="12"/>
        <v>8232</v>
      </c>
      <c r="L201" s="2">
        <f t="shared" si="13"/>
        <v>105000</v>
      </c>
      <c r="M201" s="2">
        <f t="shared" si="14"/>
        <v>-96768</v>
      </c>
      <c r="N201" s="2">
        <f>_xlfn.XLOOKUP(D201, Sales_Rep_Master!A:A, Sales_Rep_Master!B:B)</f>
        <v>800000</v>
      </c>
      <c r="O201" s="4">
        <f t="shared" si="15"/>
        <v>1.0290000000000001E-2</v>
      </c>
    </row>
    <row r="202" spans="1:15" ht="15.75" x14ac:dyDescent="0.25">
      <c r="A202" s="3" t="s">
        <v>388</v>
      </c>
      <c r="B202" s="2" t="s">
        <v>335</v>
      </c>
      <c r="C202" s="2" t="s">
        <v>33</v>
      </c>
      <c r="D202" s="2" t="s">
        <v>27</v>
      </c>
      <c r="E202" s="2" t="s">
        <v>28</v>
      </c>
      <c r="F202" s="2">
        <v>14</v>
      </c>
      <c r="G202" s="2">
        <v>2372</v>
      </c>
      <c r="H202" s="2" t="str">
        <f>_xlfn.XLOOKUP(E202, Product_Master!A:A, Product_Master!B:B)</f>
        <v>Laptop</v>
      </c>
      <c r="I202" s="2" t="str">
        <f>_xlfn.XLOOKUP(E202, Product_Master!A:A, Product_Master!C:C)</f>
        <v>Electronics</v>
      </c>
      <c r="J202" s="2">
        <f>_xlfn.XLOOKUP(E202, Product_Master!A:A, Product_Master!D:D)</f>
        <v>35000</v>
      </c>
      <c r="K202" s="2">
        <f t="shared" si="12"/>
        <v>33208</v>
      </c>
      <c r="L202" s="2">
        <f t="shared" si="13"/>
        <v>490000</v>
      </c>
      <c r="M202" s="2">
        <f t="shared" si="14"/>
        <v>-456792</v>
      </c>
      <c r="N202" s="2">
        <f>_xlfn.XLOOKUP(D202, Sales_Rep_Master!A:A, Sales_Rep_Master!B:B)</f>
        <v>800000</v>
      </c>
      <c r="O202" s="4">
        <f t="shared" si="15"/>
        <v>4.1509999999999998E-2</v>
      </c>
    </row>
    <row r="203" spans="1:15" ht="15.75" hidden="1" x14ac:dyDescent="0.25">
      <c r="A203" s="3" t="s">
        <v>389</v>
      </c>
      <c r="B203" s="2" t="s">
        <v>390</v>
      </c>
      <c r="C203" s="2" t="s">
        <v>9</v>
      </c>
      <c r="D203" s="2" t="s">
        <v>27</v>
      </c>
      <c r="E203" s="2" t="s">
        <v>23</v>
      </c>
      <c r="F203" s="2">
        <v>4</v>
      </c>
      <c r="G203" s="2">
        <v>5122</v>
      </c>
      <c r="H203" s="2" t="str">
        <f>_xlfn.XLOOKUP(E203, Product_Master!A:A, Product_Master!B:B)</f>
        <v>Sofa</v>
      </c>
      <c r="I203" s="2" t="str">
        <f>_xlfn.XLOOKUP(E203, Product_Master!A:A, Product_Master!C:C)</f>
        <v>Furniture</v>
      </c>
      <c r="J203" s="2">
        <f>_xlfn.XLOOKUP(E203, Product_Master!A:A, Product_Master!D:D)</f>
        <v>15000</v>
      </c>
      <c r="K203" s="2">
        <f t="shared" si="12"/>
        <v>20488</v>
      </c>
      <c r="L203" s="2">
        <f t="shared" si="13"/>
        <v>60000</v>
      </c>
      <c r="M203" s="2">
        <f t="shared" si="14"/>
        <v>-39512</v>
      </c>
      <c r="N203" s="2">
        <f>_xlfn.XLOOKUP(D203, Sales_Rep_Master!A:A, Sales_Rep_Master!B:B)</f>
        <v>800000</v>
      </c>
      <c r="O203" s="4">
        <f t="shared" si="15"/>
        <v>2.5610000000000001E-2</v>
      </c>
    </row>
    <row r="204" spans="1:15" ht="15.75" hidden="1" x14ac:dyDescent="0.25">
      <c r="A204" s="3" t="s">
        <v>391</v>
      </c>
      <c r="B204" s="2" t="s">
        <v>110</v>
      </c>
      <c r="C204" s="2" t="s">
        <v>9</v>
      </c>
      <c r="D204" s="2" t="s">
        <v>51</v>
      </c>
      <c r="E204" s="2" t="s">
        <v>34</v>
      </c>
      <c r="F204" s="2">
        <v>6</v>
      </c>
      <c r="G204" s="2">
        <v>3167</v>
      </c>
      <c r="H204" s="2" t="str">
        <f>_xlfn.XLOOKUP(E204, Product_Master!A:A, Product_Master!B:B)</f>
        <v>Jacket</v>
      </c>
      <c r="I204" s="2" t="str">
        <f>_xlfn.XLOOKUP(E204, Product_Master!A:A, Product_Master!C:C)</f>
        <v>Clothing</v>
      </c>
      <c r="J204" s="2">
        <f>_xlfn.XLOOKUP(E204, Product_Master!A:A, Product_Master!D:D)</f>
        <v>1500</v>
      </c>
      <c r="K204" s="2">
        <f t="shared" si="12"/>
        <v>19002</v>
      </c>
      <c r="L204" s="2">
        <f t="shared" si="13"/>
        <v>9000</v>
      </c>
      <c r="M204" s="2">
        <f t="shared" si="14"/>
        <v>10002</v>
      </c>
      <c r="N204" s="2">
        <f>_xlfn.XLOOKUP(D204, Sales_Rep_Master!A:A, Sales_Rep_Master!B:B)</f>
        <v>900000</v>
      </c>
      <c r="O204" s="4">
        <f t="shared" si="15"/>
        <v>2.1113333333333335E-2</v>
      </c>
    </row>
    <row r="205" spans="1:15" ht="15.75" x14ac:dyDescent="0.25">
      <c r="A205" s="3" t="s">
        <v>392</v>
      </c>
      <c r="B205" s="2" t="s">
        <v>364</v>
      </c>
      <c r="C205" s="2" t="s">
        <v>9</v>
      </c>
      <c r="D205" s="2" t="s">
        <v>51</v>
      </c>
      <c r="E205" s="2" t="s">
        <v>11</v>
      </c>
      <c r="F205" s="2">
        <v>15</v>
      </c>
      <c r="G205" s="2">
        <v>5303</v>
      </c>
      <c r="H205" s="2" t="str">
        <f>_xlfn.XLOOKUP(E205, Product_Master!A:A, Product_Master!B:B)</f>
        <v>Mobile</v>
      </c>
      <c r="I205" s="2" t="str">
        <f>_xlfn.XLOOKUP(E205, Product_Master!A:A, Product_Master!C:C)</f>
        <v>Electronics</v>
      </c>
      <c r="J205" s="2">
        <f>_xlfn.XLOOKUP(E205, Product_Master!A:A, Product_Master!D:D)</f>
        <v>18000</v>
      </c>
      <c r="K205" s="2">
        <f t="shared" si="12"/>
        <v>79545</v>
      </c>
      <c r="L205" s="2">
        <f t="shared" si="13"/>
        <v>270000</v>
      </c>
      <c r="M205" s="2">
        <f t="shared" si="14"/>
        <v>-190455</v>
      </c>
      <c r="N205" s="2">
        <f>_xlfn.XLOOKUP(D205, Sales_Rep_Master!A:A, Sales_Rep_Master!B:B)</f>
        <v>900000</v>
      </c>
      <c r="O205" s="4">
        <f t="shared" si="15"/>
        <v>8.8383333333333328E-2</v>
      </c>
    </row>
    <row r="206" spans="1:15" ht="15.75" x14ac:dyDescent="0.25">
      <c r="A206" s="3" t="s">
        <v>393</v>
      </c>
      <c r="B206" s="2" t="s">
        <v>394</v>
      </c>
      <c r="C206" s="2" t="s">
        <v>33</v>
      </c>
      <c r="D206" s="2" t="s">
        <v>54</v>
      </c>
      <c r="E206" s="2" t="s">
        <v>28</v>
      </c>
      <c r="F206" s="2">
        <v>4</v>
      </c>
      <c r="G206" s="2">
        <v>1673</v>
      </c>
      <c r="H206" s="2" t="str">
        <f>_xlfn.XLOOKUP(E206, Product_Master!A:A, Product_Master!B:B)</f>
        <v>Laptop</v>
      </c>
      <c r="I206" s="2" t="str">
        <f>_xlfn.XLOOKUP(E206, Product_Master!A:A, Product_Master!C:C)</f>
        <v>Electronics</v>
      </c>
      <c r="J206" s="2">
        <f>_xlfn.XLOOKUP(E206, Product_Master!A:A, Product_Master!D:D)</f>
        <v>35000</v>
      </c>
      <c r="K206" s="2">
        <f t="shared" si="12"/>
        <v>6692</v>
      </c>
      <c r="L206" s="2">
        <f t="shared" si="13"/>
        <v>140000</v>
      </c>
      <c r="M206" s="2">
        <f t="shared" si="14"/>
        <v>-133308</v>
      </c>
      <c r="N206" s="2">
        <f>_xlfn.XLOOKUP(D206, Sales_Rep_Master!A:A, Sales_Rep_Master!B:B)</f>
        <v>890000</v>
      </c>
      <c r="O206" s="4">
        <f t="shared" si="15"/>
        <v>7.5191011235955056E-3</v>
      </c>
    </row>
    <row r="207" spans="1:15" ht="15.75" x14ac:dyDescent="0.25">
      <c r="A207" s="3" t="s">
        <v>395</v>
      </c>
      <c r="B207" s="2" t="s">
        <v>108</v>
      </c>
      <c r="C207" s="2" t="s">
        <v>9</v>
      </c>
      <c r="D207" s="2" t="s">
        <v>54</v>
      </c>
      <c r="E207" s="2" t="s">
        <v>20</v>
      </c>
      <c r="F207" s="2">
        <v>8</v>
      </c>
      <c r="G207" s="2">
        <v>1735</v>
      </c>
      <c r="H207" s="2" t="str">
        <f>_xlfn.XLOOKUP(E207, Product_Master!A:A, Product_Master!B:B)</f>
        <v>Headphones</v>
      </c>
      <c r="I207" s="2" t="str">
        <f>_xlfn.XLOOKUP(E207, Product_Master!A:A, Product_Master!C:C)</f>
        <v>Electronics</v>
      </c>
      <c r="J207" s="2">
        <f>_xlfn.XLOOKUP(E207, Product_Master!A:A, Product_Master!D:D)</f>
        <v>2000</v>
      </c>
      <c r="K207" s="2">
        <f t="shared" si="12"/>
        <v>13880</v>
      </c>
      <c r="L207" s="2">
        <f t="shared" si="13"/>
        <v>16000</v>
      </c>
      <c r="M207" s="2">
        <f t="shared" si="14"/>
        <v>-2120</v>
      </c>
      <c r="N207" s="2">
        <f>_xlfn.XLOOKUP(D207, Sales_Rep_Master!A:A, Sales_Rep_Master!B:B)</f>
        <v>890000</v>
      </c>
      <c r="O207" s="4">
        <f t="shared" si="15"/>
        <v>1.5595505617977528E-2</v>
      </c>
    </row>
    <row r="208" spans="1:15" ht="15.75" hidden="1" x14ac:dyDescent="0.25">
      <c r="A208" s="3" t="s">
        <v>396</v>
      </c>
      <c r="B208" s="2" t="s">
        <v>397</v>
      </c>
      <c r="C208" s="2" t="s">
        <v>33</v>
      </c>
      <c r="D208" s="2" t="s">
        <v>14</v>
      </c>
      <c r="E208" s="2" t="s">
        <v>61</v>
      </c>
      <c r="F208" s="2">
        <v>1</v>
      </c>
      <c r="G208" s="2">
        <v>3511</v>
      </c>
      <c r="H208" s="2" t="str">
        <f>_xlfn.XLOOKUP(E208, Product_Master!A:A, Product_Master!B:B)</f>
        <v>Shoes</v>
      </c>
      <c r="I208" s="2" t="str">
        <f>_xlfn.XLOOKUP(E208, Product_Master!A:A, Product_Master!C:C)</f>
        <v>Clothing</v>
      </c>
      <c r="J208" s="2">
        <f>_xlfn.XLOOKUP(E208, Product_Master!A:A, Product_Master!D:D)</f>
        <v>2000</v>
      </c>
      <c r="K208" s="2">
        <f t="shared" si="12"/>
        <v>3511</v>
      </c>
      <c r="L208" s="2">
        <f t="shared" si="13"/>
        <v>2000</v>
      </c>
      <c r="M208" s="2">
        <f t="shared" si="14"/>
        <v>1511</v>
      </c>
      <c r="N208" s="2">
        <f>_xlfn.XLOOKUP(D208, Sales_Rep_Master!A:A, Sales_Rep_Master!B:B)</f>
        <v>880000</v>
      </c>
      <c r="O208" s="4">
        <f t="shared" si="15"/>
        <v>3.9897727272727272E-3</v>
      </c>
    </row>
    <row r="209" spans="1:15" ht="15.75" hidden="1" x14ac:dyDescent="0.25">
      <c r="A209" s="3" t="s">
        <v>398</v>
      </c>
      <c r="B209" s="2" t="s">
        <v>399</v>
      </c>
      <c r="C209" s="2" t="s">
        <v>26</v>
      </c>
      <c r="D209" s="2" t="s">
        <v>152</v>
      </c>
      <c r="E209" s="2" t="s">
        <v>23</v>
      </c>
      <c r="F209" s="2">
        <v>5</v>
      </c>
      <c r="G209" s="2">
        <v>6358</v>
      </c>
      <c r="H209" s="2" t="str">
        <f>_xlfn.XLOOKUP(E209, Product_Master!A:A, Product_Master!B:B)</f>
        <v>Sofa</v>
      </c>
      <c r="I209" s="2" t="str">
        <f>_xlfn.XLOOKUP(E209, Product_Master!A:A, Product_Master!C:C)</f>
        <v>Furniture</v>
      </c>
      <c r="J209" s="2">
        <f>_xlfn.XLOOKUP(E209, Product_Master!A:A, Product_Master!D:D)</f>
        <v>15000</v>
      </c>
      <c r="K209" s="2">
        <f t="shared" si="12"/>
        <v>31790</v>
      </c>
      <c r="L209" s="2">
        <f t="shared" si="13"/>
        <v>75000</v>
      </c>
      <c r="M209" s="2">
        <f t="shared" si="14"/>
        <v>-43210</v>
      </c>
      <c r="N209" s="2">
        <f>_xlfn.XLOOKUP(D209, Sales_Rep_Master!A:A, Sales_Rep_Master!B:B)</f>
        <v>870000</v>
      </c>
      <c r="O209" s="4">
        <f t="shared" si="15"/>
        <v>3.6540229885057472E-2</v>
      </c>
    </row>
    <row r="210" spans="1:15" ht="15.75" x14ac:dyDescent="0.25">
      <c r="A210" s="3" t="s">
        <v>400</v>
      </c>
      <c r="B210" s="2" t="s">
        <v>77</v>
      </c>
      <c r="C210" s="2" t="s">
        <v>18</v>
      </c>
      <c r="D210" s="2" t="s">
        <v>10</v>
      </c>
      <c r="E210" s="2" t="s">
        <v>11</v>
      </c>
      <c r="F210" s="2">
        <v>10</v>
      </c>
      <c r="G210" s="2">
        <v>3750</v>
      </c>
      <c r="H210" s="2" t="str">
        <f>_xlfn.XLOOKUP(E210, Product_Master!A:A, Product_Master!B:B)</f>
        <v>Mobile</v>
      </c>
      <c r="I210" s="2" t="str">
        <f>_xlfn.XLOOKUP(E210, Product_Master!A:A, Product_Master!C:C)</f>
        <v>Electronics</v>
      </c>
      <c r="J210" s="2">
        <f>_xlfn.XLOOKUP(E210, Product_Master!A:A, Product_Master!D:D)</f>
        <v>18000</v>
      </c>
      <c r="K210" s="2">
        <f t="shared" si="12"/>
        <v>37500</v>
      </c>
      <c r="L210" s="2">
        <f t="shared" si="13"/>
        <v>180000</v>
      </c>
      <c r="M210" s="2">
        <f t="shared" si="14"/>
        <v>-142500</v>
      </c>
      <c r="N210" s="2">
        <f>_xlfn.XLOOKUP(D210, Sales_Rep_Master!A:A, Sales_Rep_Master!B:B)</f>
        <v>920000</v>
      </c>
      <c r="O210" s="4">
        <f t="shared" si="15"/>
        <v>4.0760869565217392E-2</v>
      </c>
    </row>
    <row r="211" spans="1:15" ht="15.75" hidden="1" x14ac:dyDescent="0.25">
      <c r="A211" s="3" t="s">
        <v>401</v>
      </c>
      <c r="B211" s="2" t="s">
        <v>402</v>
      </c>
      <c r="C211" s="2" t="s">
        <v>18</v>
      </c>
      <c r="D211" s="2" t="s">
        <v>10</v>
      </c>
      <c r="E211" s="2" t="s">
        <v>15</v>
      </c>
      <c r="F211" s="2">
        <v>3</v>
      </c>
      <c r="G211" s="2">
        <v>1035</v>
      </c>
      <c r="H211" s="2" t="str">
        <f>_xlfn.XLOOKUP(E211, Product_Master!A:A, Product_Master!B:B)</f>
        <v>Chair</v>
      </c>
      <c r="I211" s="2" t="str">
        <f>_xlfn.XLOOKUP(E211, Product_Master!A:A, Product_Master!C:C)</f>
        <v>Furniture</v>
      </c>
      <c r="J211" s="2">
        <f>_xlfn.XLOOKUP(E211, Product_Master!A:A, Product_Master!D:D)</f>
        <v>2500</v>
      </c>
      <c r="K211" s="2">
        <f t="shared" si="12"/>
        <v>3105</v>
      </c>
      <c r="L211" s="2">
        <f t="shared" si="13"/>
        <v>7500</v>
      </c>
      <c r="M211" s="2">
        <f t="shared" si="14"/>
        <v>-4395</v>
      </c>
      <c r="N211" s="2">
        <f>_xlfn.XLOOKUP(D211, Sales_Rep_Master!A:A, Sales_Rep_Master!B:B)</f>
        <v>920000</v>
      </c>
      <c r="O211" s="4">
        <f t="shared" si="15"/>
        <v>3.375E-3</v>
      </c>
    </row>
    <row r="212" spans="1:15" ht="15.75" hidden="1" x14ac:dyDescent="0.25">
      <c r="A212" s="3" t="s">
        <v>403</v>
      </c>
      <c r="B212" s="2" t="s">
        <v>404</v>
      </c>
      <c r="C212" s="2" t="s">
        <v>18</v>
      </c>
      <c r="D212" s="2" t="s">
        <v>54</v>
      </c>
      <c r="E212" s="2" t="s">
        <v>61</v>
      </c>
      <c r="F212" s="2">
        <v>7</v>
      </c>
      <c r="G212" s="2">
        <v>5622</v>
      </c>
      <c r="H212" s="2" t="str">
        <f>_xlfn.XLOOKUP(E212, Product_Master!A:A, Product_Master!B:B)</f>
        <v>Shoes</v>
      </c>
      <c r="I212" s="2" t="str">
        <f>_xlfn.XLOOKUP(E212, Product_Master!A:A, Product_Master!C:C)</f>
        <v>Clothing</v>
      </c>
      <c r="J212" s="2">
        <f>_xlfn.XLOOKUP(E212, Product_Master!A:A, Product_Master!D:D)</f>
        <v>2000</v>
      </c>
      <c r="K212" s="2">
        <f t="shared" si="12"/>
        <v>39354</v>
      </c>
      <c r="L212" s="2">
        <f t="shared" si="13"/>
        <v>14000</v>
      </c>
      <c r="M212" s="2">
        <f t="shared" si="14"/>
        <v>25354</v>
      </c>
      <c r="N212" s="2">
        <f>_xlfn.XLOOKUP(D212, Sales_Rep_Master!A:A, Sales_Rep_Master!B:B)</f>
        <v>890000</v>
      </c>
      <c r="O212" s="4">
        <f t="shared" si="15"/>
        <v>4.421797752808989E-2</v>
      </c>
    </row>
    <row r="213" spans="1:15" ht="15.75" hidden="1" x14ac:dyDescent="0.25">
      <c r="A213" s="3" t="s">
        <v>405</v>
      </c>
      <c r="B213" s="2" t="s">
        <v>406</v>
      </c>
      <c r="C213" s="2" t="s">
        <v>18</v>
      </c>
      <c r="D213" s="2" t="s">
        <v>19</v>
      </c>
      <c r="E213" s="2" t="s">
        <v>15</v>
      </c>
      <c r="F213" s="2">
        <v>11</v>
      </c>
      <c r="G213" s="2">
        <v>1177</v>
      </c>
      <c r="H213" s="2" t="str">
        <f>_xlfn.XLOOKUP(E213, Product_Master!A:A, Product_Master!B:B)</f>
        <v>Chair</v>
      </c>
      <c r="I213" s="2" t="str">
        <f>_xlfn.XLOOKUP(E213, Product_Master!A:A, Product_Master!C:C)</f>
        <v>Furniture</v>
      </c>
      <c r="J213" s="2">
        <f>_xlfn.XLOOKUP(E213, Product_Master!A:A, Product_Master!D:D)</f>
        <v>2500</v>
      </c>
      <c r="K213" s="2">
        <f t="shared" si="12"/>
        <v>12947</v>
      </c>
      <c r="L213" s="2">
        <f t="shared" si="13"/>
        <v>27500</v>
      </c>
      <c r="M213" s="2">
        <f t="shared" si="14"/>
        <v>-14553</v>
      </c>
      <c r="N213" s="2">
        <f>_xlfn.XLOOKUP(D213, Sales_Rep_Master!A:A, Sales_Rep_Master!B:B)</f>
        <v>950000</v>
      </c>
      <c r="O213" s="4">
        <f t="shared" si="15"/>
        <v>1.362842105263158E-2</v>
      </c>
    </row>
    <row r="214" spans="1:15" ht="15.75" hidden="1" x14ac:dyDescent="0.25">
      <c r="A214" s="3" t="s">
        <v>407</v>
      </c>
      <c r="B214" s="2" t="s">
        <v>347</v>
      </c>
      <c r="C214" s="2" t="s">
        <v>9</v>
      </c>
      <c r="D214" s="2" t="s">
        <v>14</v>
      </c>
      <c r="E214" s="2" t="s">
        <v>34</v>
      </c>
      <c r="F214" s="2">
        <v>7</v>
      </c>
      <c r="G214" s="2">
        <v>6825</v>
      </c>
      <c r="H214" s="2" t="str">
        <f>_xlfn.XLOOKUP(E214, Product_Master!A:A, Product_Master!B:B)</f>
        <v>Jacket</v>
      </c>
      <c r="I214" s="2" t="str">
        <f>_xlfn.XLOOKUP(E214, Product_Master!A:A, Product_Master!C:C)</f>
        <v>Clothing</v>
      </c>
      <c r="J214" s="2">
        <f>_xlfn.XLOOKUP(E214, Product_Master!A:A, Product_Master!D:D)</f>
        <v>1500</v>
      </c>
      <c r="K214" s="2">
        <f t="shared" si="12"/>
        <v>47775</v>
      </c>
      <c r="L214" s="2">
        <f t="shared" si="13"/>
        <v>10500</v>
      </c>
      <c r="M214" s="2">
        <f t="shared" si="14"/>
        <v>37275</v>
      </c>
      <c r="N214" s="2">
        <f>_xlfn.XLOOKUP(D214, Sales_Rep_Master!A:A, Sales_Rep_Master!B:B)</f>
        <v>880000</v>
      </c>
      <c r="O214" s="4">
        <f t="shared" si="15"/>
        <v>5.4289772727272728E-2</v>
      </c>
    </row>
    <row r="215" spans="1:15" ht="15.75" x14ac:dyDescent="0.25">
      <c r="A215" s="3" t="s">
        <v>408</v>
      </c>
      <c r="B215" s="2" t="s">
        <v>137</v>
      </c>
      <c r="C215" s="2" t="s">
        <v>18</v>
      </c>
      <c r="D215" s="2" t="s">
        <v>27</v>
      </c>
      <c r="E215" s="2" t="s">
        <v>28</v>
      </c>
      <c r="F215" s="2">
        <v>5</v>
      </c>
      <c r="G215" s="2">
        <v>3840</v>
      </c>
      <c r="H215" s="2" t="str">
        <f>_xlfn.XLOOKUP(E215, Product_Master!A:A, Product_Master!B:B)</f>
        <v>Laptop</v>
      </c>
      <c r="I215" s="2" t="str">
        <f>_xlfn.XLOOKUP(E215, Product_Master!A:A, Product_Master!C:C)</f>
        <v>Electronics</v>
      </c>
      <c r="J215" s="2">
        <f>_xlfn.XLOOKUP(E215, Product_Master!A:A, Product_Master!D:D)</f>
        <v>35000</v>
      </c>
      <c r="K215" s="2">
        <f t="shared" si="12"/>
        <v>19200</v>
      </c>
      <c r="L215" s="2">
        <f t="shared" si="13"/>
        <v>175000</v>
      </c>
      <c r="M215" s="2">
        <f t="shared" si="14"/>
        <v>-155800</v>
      </c>
      <c r="N215" s="2">
        <f>_xlfn.XLOOKUP(D215, Sales_Rep_Master!A:A, Sales_Rep_Master!B:B)</f>
        <v>800000</v>
      </c>
      <c r="O215" s="4">
        <f t="shared" si="15"/>
        <v>2.4E-2</v>
      </c>
    </row>
    <row r="216" spans="1:15" ht="15.75" hidden="1" x14ac:dyDescent="0.25">
      <c r="A216" s="3" t="s">
        <v>409</v>
      </c>
      <c r="B216" s="2" t="s">
        <v>410</v>
      </c>
      <c r="C216" s="2" t="s">
        <v>9</v>
      </c>
      <c r="D216" s="2" t="s">
        <v>27</v>
      </c>
      <c r="E216" s="2" t="s">
        <v>15</v>
      </c>
      <c r="F216" s="2">
        <v>4</v>
      </c>
      <c r="G216" s="2">
        <v>3927</v>
      </c>
      <c r="H216" s="2" t="str">
        <f>_xlfn.XLOOKUP(E216, Product_Master!A:A, Product_Master!B:B)</f>
        <v>Chair</v>
      </c>
      <c r="I216" s="2" t="str">
        <f>_xlfn.XLOOKUP(E216, Product_Master!A:A, Product_Master!C:C)</f>
        <v>Furniture</v>
      </c>
      <c r="J216" s="2">
        <f>_xlfn.XLOOKUP(E216, Product_Master!A:A, Product_Master!D:D)</f>
        <v>2500</v>
      </c>
      <c r="K216" s="2">
        <f t="shared" si="12"/>
        <v>15708</v>
      </c>
      <c r="L216" s="2">
        <f t="shared" si="13"/>
        <v>10000</v>
      </c>
      <c r="M216" s="2">
        <f t="shared" si="14"/>
        <v>5708</v>
      </c>
      <c r="N216" s="2">
        <f>_xlfn.XLOOKUP(D216, Sales_Rep_Master!A:A, Sales_Rep_Master!B:B)</f>
        <v>800000</v>
      </c>
      <c r="O216" s="4">
        <f t="shared" si="15"/>
        <v>1.9635E-2</v>
      </c>
    </row>
    <row r="217" spans="1:15" ht="15.75" hidden="1" x14ac:dyDescent="0.25">
      <c r="A217" s="3" t="s">
        <v>411</v>
      </c>
      <c r="B217" s="2" t="s">
        <v>412</v>
      </c>
      <c r="C217" s="2" t="s">
        <v>26</v>
      </c>
      <c r="D217" s="2" t="s">
        <v>37</v>
      </c>
      <c r="E217" s="2" t="s">
        <v>15</v>
      </c>
      <c r="F217" s="2">
        <v>1</v>
      </c>
      <c r="G217" s="2">
        <v>1748</v>
      </c>
      <c r="H217" s="2" t="str">
        <f>_xlfn.XLOOKUP(E217, Product_Master!A:A, Product_Master!B:B)</f>
        <v>Chair</v>
      </c>
      <c r="I217" s="2" t="str">
        <f>_xlfn.XLOOKUP(E217, Product_Master!A:A, Product_Master!C:C)</f>
        <v>Furniture</v>
      </c>
      <c r="J217" s="2">
        <f>_xlfn.XLOOKUP(E217, Product_Master!A:A, Product_Master!D:D)</f>
        <v>2500</v>
      </c>
      <c r="K217" s="2">
        <f t="shared" si="12"/>
        <v>1748</v>
      </c>
      <c r="L217" s="2">
        <f t="shared" si="13"/>
        <v>2500</v>
      </c>
      <c r="M217" s="2">
        <f t="shared" si="14"/>
        <v>-752</v>
      </c>
      <c r="N217" s="2">
        <f>_xlfn.XLOOKUP(D217, Sales_Rep_Master!A:A, Sales_Rep_Master!B:B)</f>
        <v>850000</v>
      </c>
      <c r="O217" s="4">
        <f t="shared" si="15"/>
        <v>2.0564705882352942E-3</v>
      </c>
    </row>
    <row r="218" spans="1:15" ht="15.75" hidden="1" x14ac:dyDescent="0.25">
      <c r="A218" s="3" t="s">
        <v>413</v>
      </c>
      <c r="B218" s="2" t="s">
        <v>311</v>
      </c>
      <c r="C218" s="2" t="s">
        <v>26</v>
      </c>
      <c r="D218" s="2" t="s">
        <v>51</v>
      </c>
      <c r="E218" s="2" t="s">
        <v>40</v>
      </c>
      <c r="F218" s="2">
        <v>5</v>
      </c>
      <c r="G218" s="2">
        <v>635</v>
      </c>
      <c r="H218" s="2" t="str">
        <f>_xlfn.XLOOKUP(E218, Product_Master!A:A, Product_Master!B:B)</f>
        <v>Table</v>
      </c>
      <c r="I218" s="2" t="str">
        <f>_xlfn.XLOOKUP(E218, Product_Master!A:A, Product_Master!C:C)</f>
        <v>Furniture</v>
      </c>
      <c r="J218" s="2">
        <f>_xlfn.XLOOKUP(E218, Product_Master!A:A, Product_Master!D:D)</f>
        <v>7000</v>
      </c>
      <c r="K218" s="2">
        <f t="shared" si="12"/>
        <v>3175</v>
      </c>
      <c r="L218" s="2">
        <f t="shared" si="13"/>
        <v>35000</v>
      </c>
      <c r="M218" s="2">
        <f t="shared" si="14"/>
        <v>-31825</v>
      </c>
      <c r="N218" s="2">
        <f>_xlfn.XLOOKUP(D218, Sales_Rep_Master!A:A, Sales_Rep_Master!B:B)</f>
        <v>900000</v>
      </c>
      <c r="O218" s="4">
        <f t="shared" si="15"/>
        <v>3.5277777777777777E-3</v>
      </c>
    </row>
    <row r="219" spans="1:15" ht="15.75" hidden="1" x14ac:dyDescent="0.25">
      <c r="A219" s="3" t="s">
        <v>414</v>
      </c>
      <c r="B219" s="2" t="s">
        <v>261</v>
      </c>
      <c r="C219" s="2" t="s">
        <v>18</v>
      </c>
      <c r="D219" s="2" t="s">
        <v>51</v>
      </c>
      <c r="E219" s="2" t="s">
        <v>15</v>
      </c>
      <c r="F219" s="2">
        <v>8</v>
      </c>
      <c r="G219" s="2">
        <v>852</v>
      </c>
      <c r="H219" s="2" t="str">
        <f>_xlfn.XLOOKUP(E219, Product_Master!A:A, Product_Master!B:B)</f>
        <v>Chair</v>
      </c>
      <c r="I219" s="2" t="str">
        <f>_xlfn.XLOOKUP(E219, Product_Master!A:A, Product_Master!C:C)</f>
        <v>Furniture</v>
      </c>
      <c r="J219" s="2">
        <f>_xlfn.XLOOKUP(E219, Product_Master!A:A, Product_Master!D:D)</f>
        <v>2500</v>
      </c>
      <c r="K219" s="2">
        <f t="shared" si="12"/>
        <v>6816</v>
      </c>
      <c r="L219" s="2">
        <f t="shared" si="13"/>
        <v>20000</v>
      </c>
      <c r="M219" s="2">
        <f t="shared" si="14"/>
        <v>-13184</v>
      </c>
      <c r="N219" s="2">
        <f>_xlfn.XLOOKUP(D219, Sales_Rep_Master!A:A, Sales_Rep_Master!B:B)</f>
        <v>900000</v>
      </c>
      <c r="O219" s="4">
        <f t="shared" si="15"/>
        <v>7.573333333333333E-3</v>
      </c>
    </row>
    <row r="220" spans="1:15" ht="15.75" hidden="1" x14ac:dyDescent="0.25">
      <c r="A220" s="3" t="s">
        <v>415</v>
      </c>
      <c r="B220" s="2" t="s">
        <v>416</v>
      </c>
      <c r="C220" s="2" t="s">
        <v>26</v>
      </c>
      <c r="D220" s="2" t="s">
        <v>51</v>
      </c>
      <c r="E220" s="2" t="s">
        <v>61</v>
      </c>
      <c r="F220" s="2">
        <v>3</v>
      </c>
      <c r="G220" s="2">
        <v>1616</v>
      </c>
      <c r="H220" s="2" t="str">
        <f>_xlfn.XLOOKUP(E220, Product_Master!A:A, Product_Master!B:B)</f>
        <v>Shoes</v>
      </c>
      <c r="I220" s="2" t="str">
        <f>_xlfn.XLOOKUP(E220, Product_Master!A:A, Product_Master!C:C)</f>
        <v>Clothing</v>
      </c>
      <c r="J220" s="2">
        <f>_xlfn.XLOOKUP(E220, Product_Master!A:A, Product_Master!D:D)</f>
        <v>2000</v>
      </c>
      <c r="K220" s="2">
        <f t="shared" si="12"/>
        <v>4848</v>
      </c>
      <c r="L220" s="2">
        <f t="shared" si="13"/>
        <v>6000</v>
      </c>
      <c r="M220" s="2">
        <f t="shared" si="14"/>
        <v>-1152</v>
      </c>
      <c r="N220" s="2">
        <f>_xlfn.XLOOKUP(D220, Sales_Rep_Master!A:A, Sales_Rep_Master!B:B)</f>
        <v>900000</v>
      </c>
      <c r="O220" s="4">
        <f t="shared" si="15"/>
        <v>5.3866666666666663E-3</v>
      </c>
    </row>
    <row r="221" spans="1:15" ht="15.75" x14ac:dyDescent="0.25">
      <c r="A221" s="3" t="s">
        <v>417</v>
      </c>
      <c r="B221" s="2" t="s">
        <v>418</v>
      </c>
      <c r="C221" s="2" t="s">
        <v>26</v>
      </c>
      <c r="D221" s="2" t="s">
        <v>51</v>
      </c>
      <c r="E221" s="2" t="s">
        <v>20</v>
      </c>
      <c r="F221" s="2">
        <v>15</v>
      </c>
      <c r="G221" s="2">
        <v>4955</v>
      </c>
      <c r="H221" s="2" t="str">
        <f>_xlfn.XLOOKUP(E221, Product_Master!A:A, Product_Master!B:B)</f>
        <v>Headphones</v>
      </c>
      <c r="I221" s="2" t="str">
        <f>_xlfn.XLOOKUP(E221, Product_Master!A:A, Product_Master!C:C)</f>
        <v>Electronics</v>
      </c>
      <c r="J221" s="2">
        <f>_xlfn.XLOOKUP(E221, Product_Master!A:A, Product_Master!D:D)</f>
        <v>2000</v>
      </c>
      <c r="K221" s="2">
        <f t="shared" si="12"/>
        <v>74325</v>
      </c>
      <c r="L221" s="2">
        <f t="shared" si="13"/>
        <v>30000</v>
      </c>
      <c r="M221" s="2">
        <f t="shared" si="14"/>
        <v>44325</v>
      </c>
      <c r="N221" s="2">
        <f>_xlfn.XLOOKUP(D221, Sales_Rep_Master!A:A, Sales_Rep_Master!B:B)</f>
        <v>900000</v>
      </c>
      <c r="O221" s="4">
        <f t="shared" si="15"/>
        <v>8.2583333333333328E-2</v>
      </c>
    </row>
    <row r="222" spans="1:15" ht="15.75" x14ac:dyDescent="0.25">
      <c r="A222" s="3" t="s">
        <v>419</v>
      </c>
      <c r="B222" s="2" t="s">
        <v>44</v>
      </c>
      <c r="C222" s="2" t="s">
        <v>33</v>
      </c>
      <c r="D222" s="2" t="s">
        <v>152</v>
      </c>
      <c r="E222" s="2" t="s">
        <v>11</v>
      </c>
      <c r="F222" s="2">
        <v>1</v>
      </c>
      <c r="G222" s="2">
        <v>878</v>
      </c>
      <c r="H222" s="2" t="str">
        <f>_xlfn.XLOOKUP(E222, Product_Master!A:A, Product_Master!B:B)</f>
        <v>Mobile</v>
      </c>
      <c r="I222" s="2" t="str">
        <f>_xlfn.XLOOKUP(E222, Product_Master!A:A, Product_Master!C:C)</f>
        <v>Electronics</v>
      </c>
      <c r="J222" s="2">
        <f>_xlfn.XLOOKUP(E222, Product_Master!A:A, Product_Master!D:D)</f>
        <v>18000</v>
      </c>
      <c r="K222" s="2">
        <f t="shared" si="12"/>
        <v>878</v>
      </c>
      <c r="L222" s="2">
        <f t="shared" si="13"/>
        <v>18000</v>
      </c>
      <c r="M222" s="2">
        <f t="shared" si="14"/>
        <v>-17122</v>
      </c>
      <c r="N222" s="2">
        <f>_xlfn.XLOOKUP(D222, Sales_Rep_Master!A:A, Sales_Rep_Master!B:B)</f>
        <v>870000</v>
      </c>
      <c r="O222" s="4">
        <f t="shared" si="15"/>
        <v>1.0091954022988505E-3</v>
      </c>
    </row>
    <row r="223" spans="1:15" ht="15.75" hidden="1" x14ac:dyDescent="0.25">
      <c r="A223" s="3" t="s">
        <v>420</v>
      </c>
      <c r="B223" s="2" t="s">
        <v>384</v>
      </c>
      <c r="C223" s="2" t="s">
        <v>9</v>
      </c>
      <c r="D223" s="2" t="s">
        <v>10</v>
      </c>
      <c r="E223" s="2" t="s">
        <v>61</v>
      </c>
      <c r="F223" s="2">
        <v>5</v>
      </c>
      <c r="G223" s="2">
        <v>3314</v>
      </c>
      <c r="H223" s="2" t="str">
        <f>_xlfn.XLOOKUP(E223, Product_Master!A:A, Product_Master!B:B)</f>
        <v>Shoes</v>
      </c>
      <c r="I223" s="2" t="str">
        <f>_xlfn.XLOOKUP(E223, Product_Master!A:A, Product_Master!C:C)</f>
        <v>Clothing</v>
      </c>
      <c r="J223" s="2">
        <f>_xlfn.XLOOKUP(E223, Product_Master!A:A, Product_Master!D:D)</f>
        <v>2000</v>
      </c>
      <c r="K223" s="2">
        <f t="shared" si="12"/>
        <v>16570</v>
      </c>
      <c r="L223" s="2">
        <f t="shared" si="13"/>
        <v>10000</v>
      </c>
      <c r="M223" s="2">
        <f t="shared" si="14"/>
        <v>6570</v>
      </c>
      <c r="N223" s="2">
        <f>_xlfn.XLOOKUP(D223, Sales_Rep_Master!A:A, Sales_Rep_Master!B:B)</f>
        <v>920000</v>
      </c>
      <c r="O223" s="4">
        <f t="shared" si="15"/>
        <v>1.8010869565217393E-2</v>
      </c>
    </row>
    <row r="224" spans="1:15" ht="15.75" hidden="1" x14ac:dyDescent="0.25">
      <c r="A224" s="3" t="s">
        <v>421</v>
      </c>
      <c r="B224" s="2" t="s">
        <v>422</v>
      </c>
      <c r="C224" s="2" t="s">
        <v>9</v>
      </c>
      <c r="D224" s="2" t="s">
        <v>51</v>
      </c>
      <c r="E224" s="2" t="s">
        <v>23</v>
      </c>
      <c r="F224" s="2">
        <v>9</v>
      </c>
      <c r="G224" s="2">
        <v>3997</v>
      </c>
      <c r="H224" s="2" t="str">
        <f>_xlfn.XLOOKUP(E224, Product_Master!A:A, Product_Master!B:B)</f>
        <v>Sofa</v>
      </c>
      <c r="I224" s="2" t="str">
        <f>_xlfn.XLOOKUP(E224, Product_Master!A:A, Product_Master!C:C)</f>
        <v>Furniture</v>
      </c>
      <c r="J224" s="2">
        <f>_xlfn.XLOOKUP(E224, Product_Master!A:A, Product_Master!D:D)</f>
        <v>15000</v>
      </c>
      <c r="K224" s="2">
        <f t="shared" si="12"/>
        <v>35973</v>
      </c>
      <c r="L224" s="2">
        <f t="shared" si="13"/>
        <v>135000</v>
      </c>
      <c r="M224" s="2">
        <f t="shared" si="14"/>
        <v>-99027</v>
      </c>
      <c r="N224" s="2">
        <f>_xlfn.XLOOKUP(D224, Sales_Rep_Master!A:A, Sales_Rep_Master!B:B)</f>
        <v>900000</v>
      </c>
      <c r="O224" s="4">
        <f t="shared" si="15"/>
        <v>3.9969999999999999E-2</v>
      </c>
    </row>
    <row r="225" spans="1:15" ht="15.75" x14ac:dyDescent="0.25">
      <c r="A225" s="3" t="s">
        <v>423</v>
      </c>
      <c r="B225" s="2" t="s">
        <v>273</v>
      </c>
      <c r="C225" s="2" t="s">
        <v>9</v>
      </c>
      <c r="D225" s="2" t="s">
        <v>10</v>
      </c>
      <c r="E225" s="2" t="s">
        <v>11</v>
      </c>
      <c r="F225" s="2">
        <v>3</v>
      </c>
      <c r="G225" s="2">
        <v>7489</v>
      </c>
      <c r="H225" s="2" t="str">
        <f>_xlfn.XLOOKUP(E225, Product_Master!A:A, Product_Master!B:B)</f>
        <v>Mobile</v>
      </c>
      <c r="I225" s="2" t="str">
        <f>_xlfn.XLOOKUP(E225, Product_Master!A:A, Product_Master!C:C)</f>
        <v>Electronics</v>
      </c>
      <c r="J225" s="2">
        <f>_xlfn.XLOOKUP(E225, Product_Master!A:A, Product_Master!D:D)</f>
        <v>18000</v>
      </c>
      <c r="K225" s="2">
        <f t="shared" si="12"/>
        <v>22467</v>
      </c>
      <c r="L225" s="2">
        <f t="shared" si="13"/>
        <v>54000</v>
      </c>
      <c r="M225" s="2">
        <f t="shared" si="14"/>
        <v>-31533</v>
      </c>
      <c r="N225" s="2">
        <f>_xlfn.XLOOKUP(D225, Sales_Rep_Master!A:A, Sales_Rep_Master!B:B)</f>
        <v>920000</v>
      </c>
      <c r="O225" s="4">
        <f t="shared" si="15"/>
        <v>2.4420652173913045E-2</v>
      </c>
    </row>
    <row r="226" spans="1:15" ht="15.75" hidden="1" x14ac:dyDescent="0.25">
      <c r="A226" s="3" t="s">
        <v>424</v>
      </c>
      <c r="B226" s="2" t="s">
        <v>425</v>
      </c>
      <c r="C226" s="2" t="s">
        <v>26</v>
      </c>
      <c r="D226" s="2" t="s">
        <v>14</v>
      </c>
      <c r="E226" s="2" t="s">
        <v>34</v>
      </c>
      <c r="F226" s="2">
        <v>15</v>
      </c>
      <c r="G226" s="2">
        <v>3788</v>
      </c>
      <c r="H226" s="2" t="str">
        <f>_xlfn.XLOOKUP(E226, Product_Master!A:A, Product_Master!B:B)</f>
        <v>Jacket</v>
      </c>
      <c r="I226" s="2" t="str">
        <f>_xlfn.XLOOKUP(E226, Product_Master!A:A, Product_Master!C:C)</f>
        <v>Clothing</v>
      </c>
      <c r="J226" s="2">
        <f>_xlfn.XLOOKUP(E226, Product_Master!A:A, Product_Master!D:D)</f>
        <v>1500</v>
      </c>
      <c r="K226" s="2">
        <f t="shared" si="12"/>
        <v>56820</v>
      </c>
      <c r="L226" s="2">
        <f t="shared" si="13"/>
        <v>22500</v>
      </c>
      <c r="M226" s="2">
        <f t="shared" si="14"/>
        <v>34320</v>
      </c>
      <c r="N226" s="2">
        <f>_xlfn.XLOOKUP(D226, Sales_Rep_Master!A:A, Sales_Rep_Master!B:B)</f>
        <v>880000</v>
      </c>
      <c r="O226" s="4">
        <f t="shared" si="15"/>
        <v>6.4568181818181816E-2</v>
      </c>
    </row>
    <row r="227" spans="1:15" ht="15.75" hidden="1" x14ac:dyDescent="0.25">
      <c r="A227" s="3" t="s">
        <v>426</v>
      </c>
      <c r="B227" s="2" t="s">
        <v>399</v>
      </c>
      <c r="C227" s="2" t="s">
        <v>33</v>
      </c>
      <c r="D227" s="2" t="s">
        <v>10</v>
      </c>
      <c r="E227" s="2" t="s">
        <v>23</v>
      </c>
      <c r="F227" s="2">
        <v>2</v>
      </c>
      <c r="G227" s="2">
        <v>3355</v>
      </c>
      <c r="H227" s="2" t="str">
        <f>_xlfn.XLOOKUP(E227, Product_Master!A:A, Product_Master!B:B)</f>
        <v>Sofa</v>
      </c>
      <c r="I227" s="2" t="str">
        <f>_xlfn.XLOOKUP(E227, Product_Master!A:A, Product_Master!C:C)</f>
        <v>Furniture</v>
      </c>
      <c r="J227" s="2">
        <f>_xlfn.XLOOKUP(E227, Product_Master!A:A, Product_Master!D:D)</f>
        <v>15000</v>
      </c>
      <c r="K227" s="2">
        <f t="shared" si="12"/>
        <v>6710</v>
      </c>
      <c r="L227" s="2">
        <f t="shared" si="13"/>
        <v>30000</v>
      </c>
      <c r="M227" s="2">
        <f t="shared" si="14"/>
        <v>-23290</v>
      </c>
      <c r="N227" s="2">
        <f>_xlfn.XLOOKUP(D227, Sales_Rep_Master!A:A, Sales_Rep_Master!B:B)</f>
        <v>920000</v>
      </c>
      <c r="O227" s="4">
        <f t="shared" si="15"/>
        <v>7.2934782608695655E-3</v>
      </c>
    </row>
    <row r="228" spans="1:15" ht="15.75" x14ac:dyDescent="0.25">
      <c r="A228" s="3" t="s">
        <v>427</v>
      </c>
      <c r="B228" s="2" t="s">
        <v>428</v>
      </c>
      <c r="C228" s="2" t="s">
        <v>18</v>
      </c>
      <c r="D228" s="2" t="s">
        <v>14</v>
      </c>
      <c r="E228" s="2" t="s">
        <v>20</v>
      </c>
      <c r="F228" s="2">
        <v>11</v>
      </c>
      <c r="G228" s="2">
        <v>4069</v>
      </c>
      <c r="H228" s="2" t="str">
        <f>_xlfn.XLOOKUP(E228, Product_Master!A:A, Product_Master!B:B)</f>
        <v>Headphones</v>
      </c>
      <c r="I228" s="2" t="str">
        <f>_xlfn.XLOOKUP(E228, Product_Master!A:A, Product_Master!C:C)</f>
        <v>Electronics</v>
      </c>
      <c r="J228" s="2">
        <f>_xlfn.XLOOKUP(E228, Product_Master!A:A, Product_Master!D:D)</f>
        <v>2000</v>
      </c>
      <c r="K228" s="2">
        <f t="shared" si="12"/>
        <v>44759</v>
      </c>
      <c r="L228" s="2">
        <f t="shared" si="13"/>
        <v>22000</v>
      </c>
      <c r="M228" s="2">
        <f t="shared" si="14"/>
        <v>22759</v>
      </c>
      <c r="N228" s="2">
        <f>_xlfn.XLOOKUP(D228, Sales_Rep_Master!A:A, Sales_Rep_Master!B:B)</f>
        <v>880000</v>
      </c>
      <c r="O228" s="4">
        <f t="shared" si="15"/>
        <v>5.0862499999999998E-2</v>
      </c>
    </row>
    <row r="229" spans="1:15" ht="15.75" x14ac:dyDescent="0.25">
      <c r="A229" s="3" t="s">
        <v>429</v>
      </c>
      <c r="B229" s="2" t="s">
        <v>430</v>
      </c>
      <c r="C229" s="2" t="s">
        <v>26</v>
      </c>
      <c r="D229" s="2" t="s">
        <v>152</v>
      </c>
      <c r="E229" s="2" t="s">
        <v>11</v>
      </c>
      <c r="F229" s="2">
        <v>7</v>
      </c>
      <c r="G229" s="2">
        <v>5497</v>
      </c>
      <c r="H229" s="2" t="str">
        <f>_xlfn.XLOOKUP(E229, Product_Master!A:A, Product_Master!B:B)</f>
        <v>Mobile</v>
      </c>
      <c r="I229" s="2" t="str">
        <f>_xlfn.XLOOKUP(E229, Product_Master!A:A, Product_Master!C:C)</f>
        <v>Electronics</v>
      </c>
      <c r="J229" s="2">
        <f>_xlfn.XLOOKUP(E229, Product_Master!A:A, Product_Master!D:D)</f>
        <v>18000</v>
      </c>
      <c r="K229" s="2">
        <f t="shared" si="12"/>
        <v>38479</v>
      </c>
      <c r="L229" s="2">
        <f t="shared" si="13"/>
        <v>126000</v>
      </c>
      <c r="M229" s="2">
        <f t="shared" si="14"/>
        <v>-87521</v>
      </c>
      <c r="N229" s="2">
        <f>_xlfn.XLOOKUP(D229, Sales_Rep_Master!A:A, Sales_Rep_Master!B:B)</f>
        <v>870000</v>
      </c>
      <c r="O229" s="4">
        <f t="shared" si="15"/>
        <v>4.4228735632183908E-2</v>
      </c>
    </row>
    <row r="230" spans="1:15" ht="15.75" hidden="1" x14ac:dyDescent="0.25">
      <c r="A230" s="3" t="s">
        <v>431</v>
      </c>
      <c r="B230" s="2" t="s">
        <v>268</v>
      </c>
      <c r="C230" s="2" t="s">
        <v>33</v>
      </c>
      <c r="D230" s="2" t="s">
        <v>54</v>
      </c>
      <c r="E230" s="2" t="s">
        <v>40</v>
      </c>
      <c r="F230" s="2">
        <v>1</v>
      </c>
      <c r="G230" s="2">
        <v>7765</v>
      </c>
      <c r="H230" s="2" t="str">
        <f>_xlfn.XLOOKUP(E230, Product_Master!A:A, Product_Master!B:B)</f>
        <v>Table</v>
      </c>
      <c r="I230" s="2" t="str">
        <f>_xlfn.XLOOKUP(E230, Product_Master!A:A, Product_Master!C:C)</f>
        <v>Furniture</v>
      </c>
      <c r="J230" s="2">
        <f>_xlfn.XLOOKUP(E230, Product_Master!A:A, Product_Master!D:D)</f>
        <v>7000</v>
      </c>
      <c r="K230" s="2">
        <f t="shared" si="12"/>
        <v>7765</v>
      </c>
      <c r="L230" s="2">
        <f t="shared" si="13"/>
        <v>7000</v>
      </c>
      <c r="M230" s="2">
        <f t="shared" si="14"/>
        <v>765</v>
      </c>
      <c r="N230" s="2">
        <f>_xlfn.XLOOKUP(D230, Sales_Rep_Master!A:A, Sales_Rep_Master!B:B)</f>
        <v>890000</v>
      </c>
      <c r="O230" s="4">
        <f t="shared" si="15"/>
        <v>8.7247191011235962E-3</v>
      </c>
    </row>
    <row r="231" spans="1:15" ht="15.75" hidden="1" x14ac:dyDescent="0.25">
      <c r="A231" s="3" t="s">
        <v>432</v>
      </c>
      <c r="B231" s="2" t="s">
        <v>251</v>
      </c>
      <c r="C231" s="2" t="s">
        <v>18</v>
      </c>
      <c r="D231" s="2" t="s">
        <v>14</v>
      </c>
      <c r="E231" s="2" t="s">
        <v>61</v>
      </c>
      <c r="F231" s="2">
        <v>7</v>
      </c>
      <c r="G231" s="2">
        <v>6133</v>
      </c>
      <c r="H231" s="2" t="str">
        <f>_xlfn.XLOOKUP(E231, Product_Master!A:A, Product_Master!B:B)</f>
        <v>Shoes</v>
      </c>
      <c r="I231" s="2" t="str">
        <f>_xlfn.XLOOKUP(E231, Product_Master!A:A, Product_Master!C:C)</f>
        <v>Clothing</v>
      </c>
      <c r="J231" s="2">
        <f>_xlfn.XLOOKUP(E231, Product_Master!A:A, Product_Master!D:D)</f>
        <v>2000</v>
      </c>
      <c r="K231" s="2">
        <f t="shared" si="12"/>
        <v>42931</v>
      </c>
      <c r="L231" s="2">
        <f t="shared" si="13"/>
        <v>14000</v>
      </c>
      <c r="M231" s="2">
        <f t="shared" si="14"/>
        <v>28931</v>
      </c>
      <c r="N231" s="2">
        <f>_xlfn.XLOOKUP(D231, Sales_Rep_Master!A:A, Sales_Rep_Master!B:B)</f>
        <v>880000</v>
      </c>
      <c r="O231" s="4">
        <f t="shared" si="15"/>
        <v>4.8785227272727272E-2</v>
      </c>
    </row>
    <row r="232" spans="1:15" ht="15.75" hidden="1" x14ac:dyDescent="0.25">
      <c r="A232" s="3" t="s">
        <v>433</v>
      </c>
      <c r="B232" s="2" t="s">
        <v>25</v>
      </c>
      <c r="C232" s="2" t="s">
        <v>9</v>
      </c>
      <c r="D232" s="2" t="s">
        <v>10</v>
      </c>
      <c r="E232" s="2" t="s">
        <v>61</v>
      </c>
      <c r="F232" s="2">
        <v>14</v>
      </c>
      <c r="G232" s="2">
        <v>2914</v>
      </c>
      <c r="H232" s="2" t="str">
        <f>_xlfn.XLOOKUP(E232, Product_Master!A:A, Product_Master!B:B)</f>
        <v>Shoes</v>
      </c>
      <c r="I232" s="2" t="str">
        <f>_xlfn.XLOOKUP(E232, Product_Master!A:A, Product_Master!C:C)</f>
        <v>Clothing</v>
      </c>
      <c r="J232" s="2">
        <f>_xlfn.XLOOKUP(E232, Product_Master!A:A, Product_Master!D:D)</f>
        <v>2000</v>
      </c>
      <c r="K232" s="2">
        <f t="shared" si="12"/>
        <v>40796</v>
      </c>
      <c r="L232" s="2">
        <f t="shared" si="13"/>
        <v>28000</v>
      </c>
      <c r="M232" s="2">
        <f t="shared" si="14"/>
        <v>12796</v>
      </c>
      <c r="N232" s="2">
        <f>_xlfn.XLOOKUP(D232, Sales_Rep_Master!A:A, Sales_Rep_Master!B:B)</f>
        <v>920000</v>
      </c>
      <c r="O232" s="4">
        <f t="shared" si="15"/>
        <v>4.4343478260869568E-2</v>
      </c>
    </row>
    <row r="233" spans="1:15" ht="15.75" hidden="1" x14ac:dyDescent="0.25">
      <c r="A233" s="3" t="s">
        <v>434</v>
      </c>
      <c r="B233" s="2" t="s">
        <v>435</v>
      </c>
      <c r="C233" s="2" t="s">
        <v>18</v>
      </c>
      <c r="D233" s="2" t="s">
        <v>152</v>
      </c>
      <c r="E233" s="2" t="s">
        <v>61</v>
      </c>
      <c r="F233" s="2">
        <v>15</v>
      </c>
      <c r="G233" s="2">
        <v>3597</v>
      </c>
      <c r="H233" s="2" t="str">
        <f>_xlfn.XLOOKUP(E233, Product_Master!A:A, Product_Master!B:B)</f>
        <v>Shoes</v>
      </c>
      <c r="I233" s="2" t="str">
        <f>_xlfn.XLOOKUP(E233, Product_Master!A:A, Product_Master!C:C)</f>
        <v>Clothing</v>
      </c>
      <c r="J233" s="2">
        <f>_xlfn.XLOOKUP(E233, Product_Master!A:A, Product_Master!D:D)</f>
        <v>2000</v>
      </c>
      <c r="K233" s="2">
        <f t="shared" si="12"/>
        <v>53955</v>
      </c>
      <c r="L233" s="2">
        <f t="shared" si="13"/>
        <v>30000</v>
      </c>
      <c r="M233" s="2">
        <f t="shared" si="14"/>
        <v>23955</v>
      </c>
      <c r="N233" s="2">
        <f>_xlfn.XLOOKUP(D233, Sales_Rep_Master!A:A, Sales_Rep_Master!B:B)</f>
        <v>870000</v>
      </c>
      <c r="O233" s="4">
        <f t="shared" si="15"/>
        <v>6.2017241379310348E-2</v>
      </c>
    </row>
    <row r="234" spans="1:15" ht="15.75" hidden="1" x14ac:dyDescent="0.25">
      <c r="A234" s="3" t="s">
        <v>436</v>
      </c>
      <c r="B234" s="2" t="s">
        <v>333</v>
      </c>
      <c r="C234" s="2" t="s">
        <v>9</v>
      </c>
      <c r="D234" s="2" t="s">
        <v>51</v>
      </c>
      <c r="E234" s="2" t="s">
        <v>15</v>
      </c>
      <c r="F234" s="2">
        <v>9</v>
      </c>
      <c r="G234" s="2">
        <v>7751</v>
      </c>
      <c r="H234" s="2" t="str">
        <f>_xlfn.XLOOKUP(E234, Product_Master!A:A, Product_Master!B:B)</f>
        <v>Chair</v>
      </c>
      <c r="I234" s="2" t="str">
        <f>_xlfn.XLOOKUP(E234, Product_Master!A:A, Product_Master!C:C)</f>
        <v>Furniture</v>
      </c>
      <c r="J234" s="2">
        <f>_xlfn.XLOOKUP(E234, Product_Master!A:A, Product_Master!D:D)</f>
        <v>2500</v>
      </c>
      <c r="K234" s="2">
        <f t="shared" si="12"/>
        <v>69759</v>
      </c>
      <c r="L234" s="2">
        <f t="shared" si="13"/>
        <v>22500</v>
      </c>
      <c r="M234" s="2">
        <f t="shared" si="14"/>
        <v>47259</v>
      </c>
      <c r="N234" s="2">
        <f>_xlfn.XLOOKUP(D234, Sales_Rep_Master!A:A, Sales_Rep_Master!B:B)</f>
        <v>900000</v>
      </c>
      <c r="O234" s="4">
        <f t="shared" si="15"/>
        <v>7.7509999999999996E-2</v>
      </c>
    </row>
    <row r="235" spans="1:15" ht="15.75" x14ac:dyDescent="0.25">
      <c r="A235" s="3" t="s">
        <v>437</v>
      </c>
      <c r="B235" s="2" t="s">
        <v>115</v>
      </c>
      <c r="C235" s="2" t="s">
        <v>26</v>
      </c>
      <c r="D235" s="2" t="s">
        <v>152</v>
      </c>
      <c r="E235" s="2" t="s">
        <v>28</v>
      </c>
      <c r="F235" s="2">
        <v>15</v>
      </c>
      <c r="G235" s="2">
        <v>2071</v>
      </c>
      <c r="H235" s="2" t="str">
        <f>_xlfn.XLOOKUP(E235, Product_Master!A:A, Product_Master!B:B)</f>
        <v>Laptop</v>
      </c>
      <c r="I235" s="2" t="str">
        <f>_xlfn.XLOOKUP(E235, Product_Master!A:A, Product_Master!C:C)</f>
        <v>Electronics</v>
      </c>
      <c r="J235" s="2">
        <f>_xlfn.XLOOKUP(E235, Product_Master!A:A, Product_Master!D:D)</f>
        <v>35000</v>
      </c>
      <c r="K235" s="2">
        <f t="shared" si="12"/>
        <v>31065</v>
      </c>
      <c r="L235" s="2">
        <f t="shared" si="13"/>
        <v>525000</v>
      </c>
      <c r="M235" s="2">
        <f t="shared" si="14"/>
        <v>-493935</v>
      </c>
      <c r="N235" s="2">
        <f>_xlfn.XLOOKUP(D235, Sales_Rep_Master!A:A, Sales_Rep_Master!B:B)</f>
        <v>870000</v>
      </c>
      <c r="O235" s="4">
        <f t="shared" si="15"/>
        <v>3.570689655172414E-2</v>
      </c>
    </row>
    <row r="236" spans="1:15" ht="15.75" hidden="1" x14ac:dyDescent="0.25">
      <c r="A236" s="3" t="s">
        <v>438</v>
      </c>
      <c r="B236" s="2" t="s">
        <v>201</v>
      </c>
      <c r="C236" s="2" t="s">
        <v>26</v>
      </c>
      <c r="D236" s="2" t="s">
        <v>14</v>
      </c>
      <c r="E236" s="2" t="s">
        <v>15</v>
      </c>
      <c r="F236" s="2">
        <v>15</v>
      </c>
      <c r="G236" s="2">
        <v>1096</v>
      </c>
      <c r="H236" s="2" t="str">
        <f>_xlfn.XLOOKUP(E236, Product_Master!A:A, Product_Master!B:B)</f>
        <v>Chair</v>
      </c>
      <c r="I236" s="2" t="str">
        <f>_xlfn.XLOOKUP(E236, Product_Master!A:A, Product_Master!C:C)</f>
        <v>Furniture</v>
      </c>
      <c r="J236" s="2">
        <f>_xlfn.XLOOKUP(E236, Product_Master!A:A, Product_Master!D:D)</f>
        <v>2500</v>
      </c>
      <c r="K236" s="2">
        <f t="shared" si="12"/>
        <v>16440</v>
      </c>
      <c r="L236" s="2">
        <f t="shared" si="13"/>
        <v>37500</v>
      </c>
      <c r="M236" s="2">
        <f t="shared" si="14"/>
        <v>-21060</v>
      </c>
      <c r="N236" s="2">
        <f>_xlfn.XLOOKUP(D236, Sales_Rep_Master!A:A, Sales_Rep_Master!B:B)</f>
        <v>880000</v>
      </c>
      <c r="O236" s="4">
        <f t="shared" si="15"/>
        <v>1.8681818181818181E-2</v>
      </c>
    </row>
    <row r="237" spans="1:15" ht="15.75" hidden="1" x14ac:dyDescent="0.25">
      <c r="A237" s="3" t="s">
        <v>439</v>
      </c>
      <c r="B237" s="2" t="s">
        <v>100</v>
      </c>
      <c r="C237" s="2" t="s">
        <v>33</v>
      </c>
      <c r="D237" s="2" t="s">
        <v>27</v>
      </c>
      <c r="E237" s="2" t="s">
        <v>23</v>
      </c>
      <c r="F237" s="2">
        <v>7</v>
      </c>
      <c r="G237" s="2">
        <v>6327</v>
      </c>
      <c r="H237" s="2" t="str">
        <f>_xlfn.XLOOKUP(E237, Product_Master!A:A, Product_Master!B:B)</f>
        <v>Sofa</v>
      </c>
      <c r="I237" s="2" t="str">
        <f>_xlfn.XLOOKUP(E237, Product_Master!A:A, Product_Master!C:C)</f>
        <v>Furniture</v>
      </c>
      <c r="J237" s="2">
        <f>_xlfn.XLOOKUP(E237, Product_Master!A:A, Product_Master!D:D)</f>
        <v>15000</v>
      </c>
      <c r="K237" s="2">
        <f t="shared" si="12"/>
        <v>44289</v>
      </c>
      <c r="L237" s="2">
        <f t="shared" si="13"/>
        <v>105000</v>
      </c>
      <c r="M237" s="2">
        <f t="shared" si="14"/>
        <v>-60711</v>
      </c>
      <c r="N237" s="2">
        <f>_xlfn.XLOOKUP(D237, Sales_Rep_Master!A:A, Sales_Rep_Master!B:B)</f>
        <v>800000</v>
      </c>
      <c r="O237" s="4">
        <f t="shared" si="15"/>
        <v>5.5361250000000001E-2</v>
      </c>
    </row>
    <row r="238" spans="1:15" ht="15.75" hidden="1" x14ac:dyDescent="0.25">
      <c r="A238" s="3" t="s">
        <v>440</v>
      </c>
      <c r="B238" s="2" t="s">
        <v>441</v>
      </c>
      <c r="C238" s="2" t="s">
        <v>26</v>
      </c>
      <c r="D238" s="2" t="s">
        <v>27</v>
      </c>
      <c r="E238" s="2" t="s">
        <v>34</v>
      </c>
      <c r="F238" s="2">
        <v>14</v>
      </c>
      <c r="G238" s="2">
        <v>3345</v>
      </c>
      <c r="H238" s="2" t="str">
        <f>_xlfn.XLOOKUP(E238, Product_Master!A:A, Product_Master!B:B)</f>
        <v>Jacket</v>
      </c>
      <c r="I238" s="2" t="str">
        <f>_xlfn.XLOOKUP(E238, Product_Master!A:A, Product_Master!C:C)</f>
        <v>Clothing</v>
      </c>
      <c r="J238" s="2">
        <f>_xlfn.XLOOKUP(E238, Product_Master!A:A, Product_Master!D:D)</f>
        <v>1500</v>
      </c>
      <c r="K238" s="2">
        <f t="shared" si="12"/>
        <v>46830</v>
      </c>
      <c r="L238" s="2">
        <f t="shared" si="13"/>
        <v>21000</v>
      </c>
      <c r="M238" s="2">
        <f t="shared" si="14"/>
        <v>25830</v>
      </c>
      <c r="N238" s="2">
        <f>_xlfn.XLOOKUP(D238, Sales_Rep_Master!A:A, Sales_Rep_Master!B:B)</f>
        <v>800000</v>
      </c>
      <c r="O238" s="4">
        <f t="shared" si="15"/>
        <v>5.8537499999999999E-2</v>
      </c>
    </row>
    <row r="239" spans="1:15" ht="15.75" x14ac:dyDescent="0.25">
      <c r="A239" s="3" t="s">
        <v>442</v>
      </c>
      <c r="B239" s="2" t="s">
        <v>443</v>
      </c>
      <c r="C239" s="2" t="s">
        <v>33</v>
      </c>
      <c r="D239" s="2" t="s">
        <v>51</v>
      </c>
      <c r="E239" s="2" t="s">
        <v>11</v>
      </c>
      <c r="F239" s="2">
        <v>2</v>
      </c>
      <c r="G239" s="2">
        <v>1328</v>
      </c>
      <c r="H239" s="2" t="str">
        <f>_xlfn.XLOOKUP(E239, Product_Master!A:A, Product_Master!B:B)</f>
        <v>Mobile</v>
      </c>
      <c r="I239" s="2" t="str">
        <f>_xlfn.XLOOKUP(E239, Product_Master!A:A, Product_Master!C:C)</f>
        <v>Electronics</v>
      </c>
      <c r="J239" s="2">
        <f>_xlfn.XLOOKUP(E239, Product_Master!A:A, Product_Master!D:D)</f>
        <v>18000</v>
      </c>
      <c r="K239" s="2">
        <f t="shared" si="12"/>
        <v>2656</v>
      </c>
      <c r="L239" s="2">
        <f t="shared" si="13"/>
        <v>36000</v>
      </c>
      <c r="M239" s="2">
        <f t="shared" si="14"/>
        <v>-33344</v>
      </c>
      <c r="N239" s="2">
        <f>_xlfn.XLOOKUP(D239, Sales_Rep_Master!A:A, Sales_Rep_Master!B:B)</f>
        <v>900000</v>
      </c>
      <c r="O239" s="4">
        <f t="shared" si="15"/>
        <v>2.9511111111111109E-3</v>
      </c>
    </row>
    <row r="240" spans="1:15" ht="15.75" x14ac:dyDescent="0.25">
      <c r="A240" s="3" t="s">
        <v>444</v>
      </c>
      <c r="B240" s="2" t="s">
        <v>338</v>
      </c>
      <c r="C240" s="2" t="s">
        <v>18</v>
      </c>
      <c r="D240" s="2" t="s">
        <v>54</v>
      </c>
      <c r="E240" s="2" t="s">
        <v>20</v>
      </c>
      <c r="F240" s="2">
        <v>5</v>
      </c>
      <c r="G240" s="2">
        <v>6383</v>
      </c>
      <c r="H240" s="2" t="str">
        <f>_xlfn.XLOOKUP(E240, Product_Master!A:A, Product_Master!B:B)</f>
        <v>Headphones</v>
      </c>
      <c r="I240" s="2" t="str">
        <f>_xlfn.XLOOKUP(E240, Product_Master!A:A, Product_Master!C:C)</f>
        <v>Electronics</v>
      </c>
      <c r="J240" s="2">
        <f>_xlfn.XLOOKUP(E240, Product_Master!A:A, Product_Master!D:D)</f>
        <v>2000</v>
      </c>
      <c r="K240" s="2">
        <f t="shared" si="12"/>
        <v>31915</v>
      </c>
      <c r="L240" s="2">
        <f t="shared" si="13"/>
        <v>10000</v>
      </c>
      <c r="M240" s="2">
        <f t="shared" si="14"/>
        <v>21915</v>
      </c>
      <c r="N240" s="2">
        <f>_xlfn.XLOOKUP(D240, Sales_Rep_Master!A:A, Sales_Rep_Master!B:B)</f>
        <v>890000</v>
      </c>
      <c r="O240" s="4">
        <f t="shared" si="15"/>
        <v>3.5859550561797751E-2</v>
      </c>
    </row>
    <row r="241" spans="1:15" ht="15.75" x14ac:dyDescent="0.25">
      <c r="A241" s="3" t="s">
        <v>445</v>
      </c>
      <c r="B241" s="2" t="s">
        <v>416</v>
      </c>
      <c r="C241" s="2" t="s">
        <v>33</v>
      </c>
      <c r="D241" s="2" t="s">
        <v>27</v>
      </c>
      <c r="E241" s="2" t="s">
        <v>11</v>
      </c>
      <c r="F241" s="2">
        <v>12</v>
      </c>
      <c r="G241" s="2">
        <v>5729</v>
      </c>
      <c r="H241" s="2" t="str">
        <f>_xlfn.XLOOKUP(E241, Product_Master!A:A, Product_Master!B:B)</f>
        <v>Mobile</v>
      </c>
      <c r="I241" s="2" t="str">
        <f>_xlfn.XLOOKUP(E241, Product_Master!A:A, Product_Master!C:C)</f>
        <v>Electronics</v>
      </c>
      <c r="J241" s="2">
        <f>_xlfn.XLOOKUP(E241, Product_Master!A:A, Product_Master!D:D)</f>
        <v>18000</v>
      </c>
      <c r="K241" s="2">
        <f t="shared" si="12"/>
        <v>68748</v>
      </c>
      <c r="L241" s="2">
        <f t="shared" si="13"/>
        <v>216000</v>
      </c>
      <c r="M241" s="2">
        <f t="shared" si="14"/>
        <v>-147252</v>
      </c>
      <c r="N241" s="2">
        <f>_xlfn.XLOOKUP(D241, Sales_Rep_Master!A:A, Sales_Rep_Master!B:B)</f>
        <v>800000</v>
      </c>
      <c r="O241" s="4">
        <f t="shared" si="15"/>
        <v>8.5934999999999997E-2</v>
      </c>
    </row>
    <row r="242" spans="1:15" ht="15.75" x14ac:dyDescent="0.25">
      <c r="A242" s="3" t="s">
        <v>446</v>
      </c>
      <c r="B242" s="2" t="s">
        <v>447</v>
      </c>
      <c r="C242" s="2" t="s">
        <v>9</v>
      </c>
      <c r="D242" s="2" t="s">
        <v>19</v>
      </c>
      <c r="E242" s="2" t="s">
        <v>28</v>
      </c>
      <c r="F242" s="2">
        <v>3</v>
      </c>
      <c r="G242" s="2">
        <v>3054</v>
      </c>
      <c r="H242" s="2" t="str">
        <f>_xlfn.XLOOKUP(E242, Product_Master!A:A, Product_Master!B:B)</f>
        <v>Laptop</v>
      </c>
      <c r="I242" s="2" t="str">
        <f>_xlfn.XLOOKUP(E242, Product_Master!A:A, Product_Master!C:C)</f>
        <v>Electronics</v>
      </c>
      <c r="J242" s="2">
        <f>_xlfn.XLOOKUP(E242, Product_Master!A:A, Product_Master!D:D)</f>
        <v>35000</v>
      </c>
      <c r="K242" s="2">
        <f t="shared" si="12"/>
        <v>9162</v>
      </c>
      <c r="L242" s="2">
        <f t="shared" si="13"/>
        <v>105000</v>
      </c>
      <c r="M242" s="2">
        <f t="shared" si="14"/>
        <v>-95838</v>
      </c>
      <c r="N242" s="2">
        <f>_xlfn.XLOOKUP(D242, Sales_Rep_Master!A:A, Sales_Rep_Master!B:B)</f>
        <v>950000</v>
      </c>
      <c r="O242" s="4">
        <f t="shared" si="15"/>
        <v>9.6442105263157898E-3</v>
      </c>
    </row>
    <row r="243" spans="1:15" ht="15.75" hidden="1" x14ac:dyDescent="0.25">
      <c r="A243" s="3" t="s">
        <v>448</v>
      </c>
      <c r="B243" s="2" t="s">
        <v>449</v>
      </c>
      <c r="C243" s="2" t="s">
        <v>18</v>
      </c>
      <c r="D243" s="2" t="s">
        <v>37</v>
      </c>
      <c r="E243" s="2" t="s">
        <v>15</v>
      </c>
      <c r="F243" s="2">
        <v>5</v>
      </c>
      <c r="G243" s="2">
        <v>6347</v>
      </c>
      <c r="H243" s="2" t="str">
        <f>_xlfn.XLOOKUP(E243, Product_Master!A:A, Product_Master!B:B)</f>
        <v>Chair</v>
      </c>
      <c r="I243" s="2" t="str">
        <f>_xlfn.XLOOKUP(E243, Product_Master!A:A, Product_Master!C:C)</f>
        <v>Furniture</v>
      </c>
      <c r="J243" s="2">
        <f>_xlfn.XLOOKUP(E243, Product_Master!A:A, Product_Master!D:D)</f>
        <v>2500</v>
      </c>
      <c r="K243" s="2">
        <f t="shared" si="12"/>
        <v>31735</v>
      </c>
      <c r="L243" s="2">
        <f t="shared" si="13"/>
        <v>12500</v>
      </c>
      <c r="M243" s="2">
        <f t="shared" si="14"/>
        <v>19235</v>
      </c>
      <c r="N243" s="2">
        <f>_xlfn.XLOOKUP(D243, Sales_Rep_Master!A:A, Sales_Rep_Master!B:B)</f>
        <v>850000</v>
      </c>
      <c r="O243" s="4">
        <f t="shared" si="15"/>
        <v>3.7335294117647057E-2</v>
      </c>
    </row>
    <row r="244" spans="1:15" ht="15.75" x14ac:dyDescent="0.25">
      <c r="A244" s="3" t="s">
        <v>450</v>
      </c>
      <c r="B244" s="2" t="s">
        <v>451</v>
      </c>
      <c r="C244" s="2" t="s">
        <v>18</v>
      </c>
      <c r="D244" s="2" t="s">
        <v>54</v>
      </c>
      <c r="E244" s="2" t="s">
        <v>20</v>
      </c>
      <c r="F244" s="2">
        <v>8</v>
      </c>
      <c r="G244" s="2">
        <v>5035</v>
      </c>
      <c r="H244" s="2" t="str">
        <f>_xlfn.XLOOKUP(E244, Product_Master!A:A, Product_Master!B:B)</f>
        <v>Headphones</v>
      </c>
      <c r="I244" s="2" t="str">
        <f>_xlfn.XLOOKUP(E244, Product_Master!A:A, Product_Master!C:C)</f>
        <v>Electronics</v>
      </c>
      <c r="J244" s="2">
        <f>_xlfn.XLOOKUP(E244, Product_Master!A:A, Product_Master!D:D)</f>
        <v>2000</v>
      </c>
      <c r="K244" s="2">
        <f t="shared" si="12"/>
        <v>40280</v>
      </c>
      <c r="L244" s="2">
        <f t="shared" si="13"/>
        <v>16000</v>
      </c>
      <c r="M244" s="2">
        <f t="shared" si="14"/>
        <v>24280</v>
      </c>
      <c r="N244" s="2">
        <f>_xlfn.XLOOKUP(D244, Sales_Rep_Master!A:A, Sales_Rep_Master!B:B)</f>
        <v>890000</v>
      </c>
      <c r="O244" s="4">
        <f t="shared" si="15"/>
        <v>4.5258426966292134E-2</v>
      </c>
    </row>
    <row r="245" spans="1:15" ht="15.75" x14ac:dyDescent="0.25">
      <c r="A245" s="3" t="s">
        <v>452</v>
      </c>
      <c r="B245" s="2" t="s">
        <v>341</v>
      </c>
      <c r="C245" s="2" t="s">
        <v>33</v>
      </c>
      <c r="D245" s="2" t="s">
        <v>152</v>
      </c>
      <c r="E245" s="2" t="s">
        <v>20</v>
      </c>
      <c r="F245" s="2">
        <v>5</v>
      </c>
      <c r="G245" s="2">
        <v>2828</v>
      </c>
      <c r="H245" s="2" t="str">
        <f>_xlfn.XLOOKUP(E245, Product_Master!A:A, Product_Master!B:B)</f>
        <v>Headphones</v>
      </c>
      <c r="I245" s="2" t="str">
        <f>_xlfn.XLOOKUP(E245, Product_Master!A:A, Product_Master!C:C)</f>
        <v>Electronics</v>
      </c>
      <c r="J245" s="2">
        <f>_xlfn.XLOOKUP(E245, Product_Master!A:A, Product_Master!D:D)</f>
        <v>2000</v>
      </c>
      <c r="K245" s="2">
        <f t="shared" si="12"/>
        <v>14140</v>
      </c>
      <c r="L245" s="2">
        <f t="shared" si="13"/>
        <v>10000</v>
      </c>
      <c r="M245" s="2">
        <f t="shared" si="14"/>
        <v>4140</v>
      </c>
      <c r="N245" s="2">
        <f>_xlfn.XLOOKUP(D245, Sales_Rep_Master!A:A, Sales_Rep_Master!B:B)</f>
        <v>870000</v>
      </c>
      <c r="O245" s="4">
        <f t="shared" si="15"/>
        <v>1.625287356321839E-2</v>
      </c>
    </row>
    <row r="246" spans="1:15" ht="15.75" hidden="1" x14ac:dyDescent="0.25">
      <c r="A246" s="3" t="s">
        <v>453</v>
      </c>
      <c r="B246" s="2" t="s">
        <v>126</v>
      </c>
      <c r="C246" s="2" t="s">
        <v>18</v>
      </c>
      <c r="D246" s="2" t="s">
        <v>152</v>
      </c>
      <c r="E246" s="2" t="s">
        <v>34</v>
      </c>
      <c r="F246" s="2">
        <v>8</v>
      </c>
      <c r="G246" s="2">
        <v>2611</v>
      </c>
      <c r="H246" s="2" t="str">
        <f>_xlfn.XLOOKUP(E246, Product_Master!A:A, Product_Master!B:B)</f>
        <v>Jacket</v>
      </c>
      <c r="I246" s="2" t="str">
        <f>_xlfn.XLOOKUP(E246, Product_Master!A:A, Product_Master!C:C)</f>
        <v>Clothing</v>
      </c>
      <c r="J246" s="2">
        <f>_xlfn.XLOOKUP(E246, Product_Master!A:A, Product_Master!D:D)</f>
        <v>1500</v>
      </c>
      <c r="K246" s="2">
        <f t="shared" si="12"/>
        <v>20888</v>
      </c>
      <c r="L246" s="2">
        <f t="shared" si="13"/>
        <v>12000</v>
      </c>
      <c r="M246" s="2">
        <f t="shared" si="14"/>
        <v>8888</v>
      </c>
      <c r="N246" s="2">
        <f>_xlfn.XLOOKUP(D246, Sales_Rep_Master!A:A, Sales_Rep_Master!B:B)</f>
        <v>870000</v>
      </c>
      <c r="O246" s="4">
        <f t="shared" si="15"/>
        <v>2.4009195402298851E-2</v>
      </c>
    </row>
    <row r="247" spans="1:15" ht="15.75" hidden="1" x14ac:dyDescent="0.25">
      <c r="A247" s="3" t="s">
        <v>454</v>
      </c>
      <c r="B247" s="2" t="s">
        <v>455</v>
      </c>
      <c r="C247" s="2" t="s">
        <v>9</v>
      </c>
      <c r="D247" s="2" t="s">
        <v>51</v>
      </c>
      <c r="E247" s="2" t="s">
        <v>61</v>
      </c>
      <c r="F247" s="2">
        <v>3</v>
      </c>
      <c r="G247" s="2">
        <v>612</v>
      </c>
      <c r="H247" s="2" t="str">
        <f>_xlfn.XLOOKUP(E247, Product_Master!A:A, Product_Master!B:B)</f>
        <v>Shoes</v>
      </c>
      <c r="I247" s="2" t="str">
        <f>_xlfn.XLOOKUP(E247, Product_Master!A:A, Product_Master!C:C)</f>
        <v>Clothing</v>
      </c>
      <c r="J247" s="2">
        <f>_xlfn.XLOOKUP(E247, Product_Master!A:A, Product_Master!D:D)</f>
        <v>2000</v>
      </c>
      <c r="K247" s="2">
        <f t="shared" si="12"/>
        <v>1836</v>
      </c>
      <c r="L247" s="2">
        <f t="shared" si="13"/>
        <v>6000</v>
      </c>
      <c r="M247" s="2">
        <f t="shared" si="14"/>
        <v>-4164</v>
      </c>
      <c r="N247" s="2">
        <f>_xlfn.XLOOKUP(D247, Sales_Rep_Master!A:A, Sales_Rep_Master!B:B)</f>
        <v>900000</v>
      </c>
      <c r="O247" s="4">
        <f t="shared" si="15"/>
        <v>2.0400000000000001E-3</v>
      </c>
    </row>
    <row r="248" spans="1:15" ht="15.75" x14ac:dyDescent="0.25">
      <c r="A248" s="3" t="s">
        <v>456</v>
      </c>
      <c r="B248" s="2" t="s">
        <v>457</v>
      </c>
      <c r="C248" s="2" t="s">
        <v>9</v>
      </c>
      <c r="D248" s="2" t="s">
        <v>27</v>
      </c>
      <c r="E248" s="2" t="s">
        <v>20</v>
      </c>
      <c r="F248" s="2">
        <v>10</v>
      </c>
      <c r="G248" s="2">
        <v>3369</v>
      </c>
      <c r="H248" s="2" t="str">
        <f>_xlfn.XLOOKUP(E248, Product_Master!A:A, Product_Master!B:B)</f>
        <v>Headphones</v>
      </c>
      <c r="I248" s="2" t="str">
        <f>_xlfn.XLOOKUP(E248, Product_Master!A:A, Product_Master!C:C)</f>
        <v>Electronics</v>
      </c>
      <c r="J248" s="2">
        <f>_xlfn.XLOOKUP(E248, Product_Master!A:A, Product_Master!D:D)</f>
        <v>2000</v>
      </c>
      <c r="K248" s="2">
        <f t="shared" si="12"/>
        <v>33690</v>
      </c>
      <c r="L248" s="2">
        <f t="shared" si="13"/>
        <v>20000</v>
      </c>
      <c r="M248" s="2">
        <f t="shared" si="14"/>
        <v>13690</v>
      </c>
      <c r="N248" s="2">
        <f>_xlfn.XLOOKUP(D248, Sales_Rep_Master!A:A, Sales_Rep_Master!B:B)</f>
        <v>800000</v>
      </c>
      <c r="O248" s="4">
        <f t="shared" si="15"/>
        <v>4.2112499999999997E-2</v>
      </c>
    </row>
    <row r="249" spans="1:15" ht="15.75" hidden="1" x14ac:dyDescent="0.25">
      <c r="A249" s="3" t="s">
        <v>458</v>
      </c>
      <c r="B249" s="2" t="s">
        <v>268</v>
      </c>
      <c r="C249" s="2" t="s">
        <v>9</v>
      </c>
      <c r="D249" s="2" t="s">
        <v>27</v>
      </c>
      <c r="E249" s="2" t="s">
        <v>40</v>
      </c>
      <c r="F249" s="2">
        <v>11</v>
      </c>
      <c r="G249" s="2">
        <v>6631</v>
      </c>
      <c r="H249" s="2" t="str">
        <f>_xlfn.XLOOKUP(E249, Product_Master!A:A, Product_Master!B:B)</f>
        <v>Table</v>
      </c>
      <c r="I249" s="2" t="str">
        <f>_xlfn.XLOOKUP(E249, Product_Master!A:A, Product_Master!C:C)</f>
        <v>Furniture</v>
      </c>
      <c r="J249" s="2">
        <f>_xlfn.XLOOKUP(E249, Product_Master!A:A, Product_Master!D:D)</f>
        <v>7000</v>
      </c>
      <c r="K249" s="2">
        <f t="shared" si="12"/>
        <v>72941</v>
      </c>
      <c r="L249" s="2">
        <f t="shared" si="13"/>
        <v>77000</v>
      </c>
      <c r="M249" s="2">
        <f t="shared" si="14"/>
        <v>-4059</v>
      </c>
      <c r="N249" s="2">
        <f>_xlfn.XLOOKUP(D249, Sales_Rep_Master!A:A, Sales_Rep_Master!B:B)</f>
        <v>800000</v>
      </c>
      <c r="O249" s="4">
        <f t="shared" si="15"/>
        <v>9.117625E-2</v>
      </c>
    </row>
    <row r="250" spans="1:15" ht="15.75" x14ac:dyDescent="0.25">
      <c r="A250" s="3" t="s">
        <v>459</v>
      </c>
      <c r="B250" s="2" t="s">
        <v>460</v>
      </c>
      <c r="C250" s="2" t="s">
        <v>9</v>
      </c>
      <c r="D250" s="2" t="s">
        <v>27</v>
      </c>
      <c r="E250" s="2" t="s">
        <v>28</v>
      </c>
      <c r="F250" s="2">
        <v>14</v>
      </c>
      <c r="G250" s="2">
        <v>5425</v>
      </c>
      <c r="H250" s="2" t="str">
        <f>_xlfn.XLOOKUP(E250, Product_Master!A:A, Product_Master!B:B)</f>
        <v>Laptop</v>
      </c>
      <c r="I250" s="2" t="str">
        <f>_xlfn.XLOOKUP(E250, Product_Master!A:A, Product_Master!C:C)</f>
        <v>Electronics</v>
      </c>
      <c r="J250" s="2">
        <f>_xlfn.XLOOKUP(E250, Product_Master!A:A, Product_Master!D:D)</f>
        <v>35000</v>
      </c>
      <c r="K250" s="2">
        <f t="shared" si="12"/>
        <v>75950</v>
      </c>
      <c r="L250" s="2">
        <f t="shared" si="13"/>
        <v>490000</v>
      </c>
      <c r="M250" s="2">
        <f t="shared" si="14"/>
        <v>-414050</v>
      </c>
      <c r="N250" s="2">
        <f>_xlfn.XLOOKUP(D250, Sales_Rep_Master!A:A, Sales_Rep_Master!B:B)</f>
        <v>800000</v>
      </c>
      <c r="O250" s="4">
        <f t="shared" si="15"/>
        <v>9.4937499999999994E-2</v>
      </c>
    </row>
    <row r="251" spans="1:15" ht="15.75" x14ac:dyDescent="0.25">
      <c r="A251" s="3" t="s">
        <v>461</v>
      </c>
      <c r="B251" s="2" t="s">
        <v>462</v>
      </c>
      <c r="C251" s="2" t="s">
        <v>18</v>
      </c>
      <c r="D251" s="2" t="s">
        <v>10</v>
      </c>
      <c r="E251" s="2" t="s">
        <v>11</v>
      </c>
      <c r="F251" s="2">
        <v>10</v>
      </c>
      <c r="G251" s="2">
        <v>2248</v>
      </c>
      <c r="H251" s="2" t="str">
        <f>_xlfn.XLOOKUP(E251, Product_Master!A:A, Product_Master!B:B)</f>
        <v>Mobile</v>
      </c>
      <c r="I251" s="2" t="str">
        <f>_xlfn.XLOOKUP(E251, Product_Master!A:A, Product_Master!C:C)</f>
        <v>Electronics</v>
      </c>
      <c r="J251" s="2">
        <f>_xlfn.XLOOKUP(E251, Product_Master!A:A, Product_Master!D:D)</f>
        <v>18000</v>
      </c>
      <c r="K251" s="2">
        <f t="shared" si="12"/>
        <v>22480</v>
      </c>
      <c r="L251" s="2">
        <f t="shared" si="13"/>
        <v>180000</v>
      </c>
      <c r="M251" s="2">
        <f t="shared" si="14"/>
        <v>-157520</v>
      </c>
      <c r="N251" s="2">
        <f>_xlfn.XLOOKUP(D251, Sales_Rep_Master!A:A, Sales_Rep_Master!B:B)</f>
        <v>920000</v>
      </c>
      <c r="O251" s="4">
        <f t="shared" si="15"/>
        <v>2.4434782608695652E-2</v>
      </c>
    </row>
    <row r="252" spans="1:15" ht="15.75" hidden="1" x14ac:dyDescent="0.25">
      <c r="A252" s="3" t="s">
        <v>463</v>
      </c>
      <c r="B252" s="2" t="s">
        <v>464</v>
      </c>
      <c r="C252" s="2" t="s">
        <v>33</v>
      </c>
      <c r="D252" s="2" t="s">
        <v>152</v>
      </c>
      <c r="E252" s="2" t="s">
        <v>34</v>
      </c>
      <c r="F252" s="2">
        <v>4</v>
      </c>
      <c r="G252" s="2">
        <v>3984</v>
      </c>
      <c r="H252" s="2" t="str">
        <f>_xlfn.XLOOKUP(E252, Product_Master!A:A, Product_Master!B:B)</f>
        <v>Jacket</v>
      </c>
      <c r="I252" s="2" t="str">
        <f>_xlfn.XLOOKUP(E252, Product_Master!A:A, Product_Master!C:C)</f>
        <v>Clothing</v>
      </c>
      <c r="J252" s="2">
        <f>_xlfn.XLOOKUP(E252, Product_Master!A:A, Product_Master!D:D)</f>
        <v>1500</v>
      </c>
      <c r="K252" s="2">
        <f t="shared" si="12"/>
        <v>15936</v>
      </c>
      <c r="L252" s="2">
        <f t="shared" si="13"/>
        <v>6000</v>
      </c>
      <c r="M252" s="2">
        <f t="shared" si="14"/>
        <v>9936</v>
      </c>
      <c r="N252" s="2">
        <f>_xlfn.XLOOKUP(D252, Sales_Rep_Master!A:A, Sales_Rep_Master!B:B)</f>
        <v>870000</v>
      </c>
      <c r="O252" s="4">
        <f t="shared" si="15"/>
        <v>1.8317241379310345E-2</v>
      </c>
    </row>
    <row r="253" spans="1:15" ht="15.75" x14ac:dyDescent="0.25">
      <c r="A253" s="3" t="s">
        <v>465</v>
      </c>
      <c r="B253" s="2" t="s">
        <v>466</v>
      </c>
      <c r="C253" s="2" t="s">
        <v>18</v>
      </c>
      <c r="D253" s="2" t="s">
        <v>152</v>
      </c>
      <c r="E253" s="2" t="s">
        <v>20</v>
      </c>
      <c r="F253" s="2">
        <v>15</v>
      </c>
      <c r="G253" s="2">
        <v>7164</v>
      </c>
      <c r="H253" s="2" t="str">
        <f>_xlfn.XLOOKUP(E253, Product_Master!A:A, Product_Master!B:B)</f>
        <v>Headphones</v>
      </c>
      <c r="I253" s="2" t="str">
        <f>_xlfn.XLOOKUP(E253, Product_Master!A:A, Product_Master!C:C)</f>
        <v>Electronics</v>
      </c>
      <c r="J253" s="2">
        <f>_xlfn.XLOOKUP(E253, Product_Master!A:A, Product_Master!D:D)</f>
        <v>2000</v>
      </c>
      <c r="K253" s="2">
        <f t="shared" si="12"/>
        <v>107460</v>
      </c>
      <c r="L253" s="2">
        <f t="shared" si="13"/>
        <v>30000</v>
      </c>
      <c r="M253" s="2">
        <f t="shared" si="14"/>
        <v>77460</v>
      </c>
      <c r="N253" s="2">
        <f>_xlfn.XLOOKUP(D253, Sales_Rep_Master!A:A, Sales_Rep_Master!B:B)</f>
        <v>870000</v>
      </c>
      <c r="O253" s="4">
        <f t="shared" si="15"/>
        <v>0.12351724137931035</v>
      </c>
    </row>
    <row r="254" spans="1:15" ht="15.75" hidden="1" x14ac:dyDescent="0.25">
      <c r="A254" s="3" t="s">
        <v>467</v>
      </c>
      <c r="B254" s="2" t="s">
        <v>468</v>
      </c>
      <c r="C254" s="2" t="s">
        <v>33</v>
      </c>
      <c r="D254" s="2" t="s">
        <v>152</v>
      </c>
      <c r="E254" s="2" t="s">
        <v>15</v>
      </c>
      <c r="F254" s="2">
        <v>2</v>
      </c>
      <c r="G254" s="2">
        <v>627</v>
      </c>
      <c r="H254" s="2" t="str">
        <f>_xlfn.XLOOKUP(E254, Product_Master!A:A, Product_Master!B:B)</f>
        <v>Chair</v>
      </c>
      <c r="I254" s="2" t="str">
        <f>_xlfn.XLOOKUP(E254, Product_Master!A:A, Product_Master!C:C)</f>
        <v>Furniture</v>
      </c>
      <c r="J254" s="2">
        <f>_xlfn.XLOOKUP(E254, Product_Master!A:A, Product_Master!D:D)</f>
        <v>2500</v>
      </c>
      <c r="K254" s="2">
        <f t="shared" si="12"/>
        <v>1254</v>
      </c>
      <c r="L254" s="2">
        <f t="shared" si="13"/>
        <v>5000</v>
      </c>
      <c r="M254" s="2">
        <f t="shared" si="14"/>
        <v>-3746</v>
      </c>
      <c r="N254" s="2">
        <f>_xlfn.XLOOKUP(D254, Sales_Rep_Master!A:A, Sales_Rep_Master!B:B)</f>
        <v>870000</v>
      </c>
      <c r="O254" s="4">
        <f t="shared" si="15"/>
        <v>1.4413793103448275E-3</v>
      </c>
    </row>
    <row r="255" spans="1:15" ht="15.75" x14ac:dyDescent="0.25">
      <c r="A255" s="3" t="s">
        <v>469</v>
      </c>
      <c r="B255" s="2" t="s">
        <v>470</v>
      </c>
      <c r="C255" s="2" t="s">
        <v>33</v>
      </c>
      <c r="D255" s="2" t="s">
        <v>27</v>
      </c>
      <c r="E255" s="2" t="s">
        <v>11</v>
      </c>
      <c r="F255" s="2">
        <v>4</v>
      </c>
      <c r="G255" s="2">
        <v>3511</v>
      </c>
      <c r="H255" s="2" t="str">
        <f>_xlfn.XLOOKUP(E255, Product_Master!A:A, Product_Master!B:B)</f>
        <v>Mobile</v>
      </c>
      <c r="I255" s="2" t="str">
        <f>_xlfn.XLOOKUP(E255, Product_Master!A:A, Product_Master!C:C)</f>
        <v>Electronics</v>
      </c>
      <c r="J255" s="2">
        <f>_xlfn.XLOOKUP(E255, Product_Master!A:A, Product_Master!D:D)</f>
        <v>18000</v>
      </c>
      <c r="K255" s="2">
        <f t="shared" si="12"/>
        <v>14044</v>
      </c>
      <c r="L255" s="2">
        <f t="shared" si="13"/>
        <v>72000</v>
      </c>
      <c r="M255" s="2">
        <f t="shared" si="14"/>
        <v>-57956</v>
      </c>
      <c r="N255" s="2">
        <f>_xlfn.XLOOKUP(D255, Sales_Rep_Master!A:A, Sales_Rep_Master!B:B)</f>
        <v>800000</v>
      </c>
      <c r="O255" s="4">
        <f t="shared" si="15"/>
        <v>1.7555000000000001E-2</v>
      </c>
    </row>
    <row r="256" spans="1:15" ht="15.75" hidden="1" x14ac:dyDescent="0.25">
      <c r="A256" s="3" t="s">
        <v>471</v>
      </c>
      <c r="B256" s="2" t="s">
        <v>451</v>
      </c>
      <c r="C256" s="2" t="s">
        <v>33</v>
      </c>
      <c r="D256" s="2" t="s">
        <v>27</v>
      </c>
      <c r="E256" s="2" t="s">
        <v>34</v>
      </c>
      <c r="F256" s="2">
        <v>3</v>
      </c>
      <c r="G256" s="2">
        <v>2689</v>
      </c>
      <c r="H256" s="2" t="str">
        <f>_xlfn.XLOOKUP(E256, Product_Master!A:A, Product_Master!B:B)</f>
        <v>Jacket</v>
      </c>
      <c r="I256" s="2" t="str">
        <f>_xlfn.XLOOKUP(E256, Product_Master!A:A, Product_Master!C:C)</f>
        <v>Clothing</v>
      </c>
      <c r="J256" s="2">
        <f>_xlfn.XLOOKUP(E256, Product_Master!A:A, Product_Master!D:D)</f>
        <v>1500</v>
      </c>
      <c r="K256" s="2">
        <f t="shared" si="12"/>
        <v>8067</v>
      </c>
      <c r="L256" s="2">
        <f t="shared" si="13"/>
        <v>4500</v>
      </c>
      <c r="M256" s="2">
        <f t="shared" si="14"/>
        <v>3567</v>
      </c>
      <c r="N256" s="2">
        <f>_xlfn.XLOOKUP(D256, Sales_Rep_Master!A:A, Sales_Rep_Master!B:B)</f>
        <v>800000</v>
      </c>
      <c r="O256" s="4">
        <f t="shared" si="15"/>
        <v>1.0083750000000001E-2</v>
      </c>
    </row>
    <row r="257" spans="1:15" ht="15.75" x14ac:dyDescent="0.25">
      <c r="A257" s="3" t="s">
        <v>472</v>
      </c>
      <c r="B257" s="2" t="s">
        <v>331</v>
      </c>
      <c r="C257" s="2" t="s">
        <v>18</v>
      </c>
      <c r="D257" s="2" t="s">
        <v>19</v>
      </c>
      <c r="E257" s="2" t="s">
        <v>28</v>
      </c>
      <c r="F257" s="2">
        <v>14</v>
      </c>
      <c r="G257" s="2">
        <v>1650</v>
      </c>
      <c r="H257" s="2" t="str">
        <f>_xlfn.XLOOKUP(E257, Product_Master!A:A, Product_Master!B:B)</f>
        <v>Laptop</v>
      </c>
      <c r="I257" s="2" t="str">
        <f>_xlfn.XLOOKUP(E257, Product_Master!A:A, Product_Master!C:C)</f>
        <v>Electronics</v>
      </c>
      <c r="J257" s="2">
        <f>_xlfn.XLOOKUP(E257, Product_Master!A:A, Product_Master!D:D)</f>
        <v>35000</v>
      </c>
      <c r="K257" s="2">
        <f t="shared" si="12"/>
        <v>23100</v>
      </c>
      <c r="L257" s="2">
        <f t="shared" si="13"/>
        <v>490000</v>
      </c>
      <c r="M257" s="2">
        <f t="shared" si="14"/>
        <v>-466900</v>
      </c>
      <c r="N257" s="2">
        <f>_xlfn.XLOOKUP(D257, Sales_Rep_Master!A:A, Sales_Rep_Master!B:B)</f>
        <v>950000</v>
      </c>
      <c r="O257" s="4">
        <f t="shared" si="15"/>
        <v>2.4315789473684211E-2</v>
      </c>
    </row>
    <row r="258" spans="1:15" ht="15.75" x14ac:dyDescent="0.25">
      <c r="A258" s="3" t="s">
        <v>473</v>
      </c>
      <c r="B258" s="2" t="s">
        <v>143</v>
      </c>
      <c r="C258" s="2" t="s">
        <v>18</v>
      </c>
      <c r="D258" s="2" t="s">
        <v>54</v>
      </c>
      <c r="E258" s="2" t="s">
        <v>11</v>
      </c>
      <c r="F258" s="2">
        <v>3</v>
      </c>
      <c r="G258" s="2">
        <v>4015</v>
      </c>
      <c r="H258" s="2" t="str">
        <f>_xlfn.XLOOKUP(E258, Product_Master!A:A, Product_Master!B:B)</f>
        <v>Mobile</v>
      </c>
      <c r="I258" s="2" t="str">
        <f>_xlfn.XLOOKUP(E258, Product_Master!A:A, Product_Master!C:C)</f>
        <v>Electronics</v>
      </c>
      <c r="J258" s="2">
        <f>_xlfn.XLOOKUP(E258, Product_Master!A:A, Product_Master!D:D)</f>
        <v>18000</v>
      </c>
      <c r="K258" s="2">
        <f t="shared" ref="K258:K321" si="16">F258*G258</f>
        <v>12045</v>
      </c>
      <c r="L258" s="2">
        <f t="shared" ref="L258:L321" si="17">F258*J258</f>
        <v>54000</v>
      </c>
      <c r="M258" s="2">
        <f t="shared" ref="M258:M321" si="18">K258-L258</f>
        <v>-41955</v>
      </c>
      <c r="N258" s="2">
        <f>_xlfn.XLOOKUP(D258, Sales_Rep_Master!A:A, Sales_Rep_Master!B:B)</f>
        <v>890000</v>
      </c>
      <c r="O258" s="4">
        <f t="shared" ref="O258:O321" si="19">K258/N258</f>
        <v>1.353370786516854E-2</v>
      </c>
    </row>
    <row r="259" spans="1:15" ht="15.75" hidden="1" x14ac:dyDescent="0.25">
      <c r="A259" s="3" t="s">
        <v>474</v>
      </c>
      <c r="B259" s="2" t="s">
        <v>475</v>
      </c>
      <c r="C259" s="2" t="s">
        <v>33</v>
      </c>
      <c r="D259" s="2" t="s">
        <v>152</v>
      </c>
      <c r="E259" s="2" t="s">
        <v>15</v>
      </c>
      <c r="F259" s="2">
        <v>8</v>
      </c>
      <c r="G259" s="2">
        <v>7740</v>
      </c>
      <c r="H259" s="2" t="str">
        <f>_xlfn.XLOOKUP(E259, Product_Master!A:A, Product_Master!B:B)</f>
        <v>Chair</v>
      </c>
      <c r="I259" s="2" t="str">
        <f>_xlfn.XLOOKUP(E259, Product_Master!A:A, Product_Master!C:C)</f>
        <v>Furniture</v>
      </c>
      <c r="J259" s="2">
        <f>_xlfn.XLOOKUP(E259, Product_Master!A:A, Product_Master!D:D)</f>
        <v>2500</v>
      </c>
      <c r="K259" s="2">
        <f t="shared" si="16"/>
        <v>61920</v>
      </c>
      <c r="L259" s="2">
        <f t="shared" si="17"/>
        <v>20000</v>
      </c>
      <c r="M259" s="2">
        <f t="shared" si="18"/>
        <v>41920</v>
      </c>
      <c r="N259" s="2">
        <f>_xlfn.XLOOKUP(D259, Sales_Rep_Master!A:A, Sales_Rep_Master!B:B)</f>
        <v>870000</v>
      </c>
      <c r="O259" s="4">
        <f t="shared" si="19"/>
        <v>7.1172413793103448E-2</v>
      </c>
    </row>
    <row r="260" spans="1:15" ht="15.75" hidden="1" x14ac:dyDescent="0.25">
      <c r="A260" s="3" t="s">
        <v>476</v>
      </c>
      <c r="B260" s="2" t="s">
        <v>477</v>
      </c>
      <c r="C260" s="2" t="s">
        <v>9</v>
      </c>
      <c r="D260" s="2" t="s">
        <v>10</v>
      </c>
      <c r="E260" s="2" t="s">
        <v>15</v>
      </c>
      <c r="F260" s="2">
        <v>1</v>
      </c>
      <c r="G260" s="2">
        <v>5019</v>
      </c>
      <c r="H260" s="2" t="str">
        <f>_xlfn.XLOOKUP(E260, Product_Master!A:A, Product_Master!B:B)</f>
        <v>Chair</v>
      </c>
      <c r="I260" s="2" t="str">
        <f>_xlfn.XLOOKUP(E260, Product_Master!A:A, Product_Master!C:C)</f>
        <v>Furniture</v>
      </c>
      <c r="J260" s="2">
        <f>_xlfn.XLOOKUP(E260, Product_Master!A:A, Product_Master!D:D)</f>
        <v>2500</v>
      </c>
      <c r="K260" s="2">
        <f t="shared" si="16"/>
        <v>5019</v>
      </c>
      <c r="L260" s="2">
        <f t="shared" si="17"/>
        <v>2500</v>
      </c>
      <c r="M260" s="2">
        <f t="shared" si="18"/>
        <v>2519</v>
      </c>
      <c r="N260" s="2">
        <f>_xlfn.XLOOKUP(D260, Sales_Rep_Master!A:A, Sales_Rep_Master!B:B)</f>
        <v>920000</v>
      </c>
      <c r="O260" s="4">
        <f t="shared" si="19"/>
        <v>5.4554347826086961E-3</v>
      </c>
    </row>
    <row r="261" spans="1:15" ht="15.75" hidden="1" x14ac:dyDescent="0.25">
      <c r="A261" s="3" t="s">
        <v>478</v>
      </c>
      <c r="B261" s="2" t="s">
        <v>479</v>
      </c>
      <c r="C261" s="2" t="s">
        <v>9</v>
      </c>
      <c r="D261" s="2" t="s">
        <v>27</v>
      </c>
      <c r="E261" s="2" t="s">
        <v>61</v>
      </c>
      <c r="F261" s="2">
        <v>11</v>
      </c>
      <c r="G261" s="2">
        <v>3685</v>
      </c>
      <c r="H261" s="2" t="str">
        <f>_xlfn.XLOOKUP(E261, Product_Master!A:A, Product_Master!B:B)</f>
        <v>Shoes</v>
      </c>
      <c r="I261" s="2" t="str">
        <f>_xlfn.XLOOKUP(E261, Product_Master!A:A, Product_Master!C:C)</f>
        <v>Clothing</v>
      </c>
      <c r="J261" s="2">
        <f>_xlfn.XLOOKUP(E261, Product_Master!A:A, Product_Master!D:D)</f>
        <v>2000</v>
      </c>
      <c r="K261" s="2">
        <f t="shared" si="16"/>
        <v>40535</v>
      </c>
      <c r="L261" s="2">
        <f t="shared" si="17"/>
        <v>22000</v>
      </c>
      <c r="M261" s="2">
        <f t="shared" si="18"/>
        <v>18535</v>
      </c>
      <c r="N261" s="2">
        <f>_xlfn.XLOOKUP(D261, Sales_Rep_Master!A:A, Sales_Rep_Master!B:B)</f>
        <v>800000</v>
      </c>
      <c r="O261" s="4">
        <f t="shared" si="19"/>
        <v>5.0668749999999999E-2</v>
      </c>
    </row>
    <row r="262" spans="1:15" ht="15.75" hidden="1" x14ac:dyDescent="0.25">
      <c r="A262" s="3" t="s">
        <v>480</v>
      </c>
      <c r="B262" s="2" t="s">
        <v>375</v>
      </c>
      <c r="C262" s="2" t="s">
        <v>9</v>
      </c>
      <c r="D262" s="2" t="s">
        <v>54</v>
      </c>
      <c r="E262" s="2" t="s">
        <v>15</v>
      </c>
      <c r="F262" s="2">
        <v>4</v>
      </c>
      <c r="G262" s="2">
        <v>5222</v>
      </c>
      <c r="H262" s="2" t="str">
        <f>_xlfn.XLOOKUP(E262, Product_Master!A:A, Product_Master!B:B)</f>
        <v>Chair</v>
      </c>
      <c r="I262" s="2" t="str">
        <f>_xlfn.XLOOKUP(E262, Product_Master!A:A, Product_Master!C:C)</f>
        <v>Furniture</v>
      </c>
      <c r="J262" s="2">
        <f>_xlfn.XLOOKUP(E262, Product_Master!A:A, Product_Master!D:D)</f>
        <v>2500</v>
      </c>
      <c r="K262" s="2">
        <f t="shared" si="16"/>
        <v>20888</v>
      </c>
      <c r="L262" s="2">
        <f t="shared" si="17"/>
        <v>10000</v>
      </c>
      <c r="M262" s="2">
        <f t="shared" si="18"/>
        <v>10888</v>
      </c>
      <c r="N262" s="2">
        <f>_xlfn.XLOOKUP(D262, Sales_Rep_Master!A:A, Sales_Rep_Master!B:B)</f>
        <v>890000</v>
      </c>
      <c r="O262" s="4">
        <f t="shared" si="19"/>
        <v>2.3469662921348316E-2</v>
      </c>
    </row>
    <row r="263" spans="1:15" ht="15.75" hidden="1" x14ac:dyDescent="0.25">
      <c r="A263" s="3" t="s">
        <v>481</v>
      </c>
      <c r="B263" s="2" t="s">
        <v>482</v>
      </c>
      <c r="C263" s="2" t="s">
        <v>33</v>
      </c>
      <c r="D263" s="2" t="s">
        <v>27</v>
      </c>
      <c r="E263" s="2" t="s">
        <v>34</v>
      </c>
      <c r="F263" s="2">
        <v>3</v>
      </c>
      <c r="G263" s="2">
        <v>1812</v>
      </c>
      <c r="H263" s="2" t="str">
        <f>_xlfn.XLOOKUP(E263, Product_Master!A:A, Product_Master!B:B)</f>
        <v>Jacket</v>
      </c>
      <c r="I263" s="2" t="str">
        <f>_xlfn.XLOOKUP(E263, Product_Master!A:A, Product_Master!C:C)</f>
        <v>Clothing</v>
      </c>
      <c r="J263" s="2">
        <f>_xlfn.XLOOKUP(E263, Product_Master!A:A, Product_Master!D:D)</f>
        <v>1500</v>
      </c>
      <c r="K263" s="2">
        <f t="shared" si="16"/>
        <v>5436</v>
      </c>
      <c r="L263" s="2">
        <f t="shared" si="17"/>
        <v>4500</v>
      </c>
      <c r="M263" s="2">
        <f t="shared" si="18"/>
        <v>936</v>
      </c>
      <c r="N263" s="2">
        <f>_xlfn.XLOOKUP(D263, Sales_Rep_Master!A:A, Sales_Rep_Master!B:B)</f>
        <v>800000</v>
      </c>
      <c r="O263" s="4">
        <f t="shared" si="19"/>
        <v>6.7949999999999998E-3</v>
      </c>
    </row>
    <row r="264" spans="1:15" ht="15.75" x14ac:dyDescent="0.25">
      <c r="A264" s="3" t="s">
        <v>483</v>
      </c>
      <c r="B264" s="2" t="s">
        <v>484</v>
      </c>
      <c r="C264" s="2" t="s">
        <v>18</v>
      </c>
      <c r="D264" s="2" t="s">
        <v>10</v>
      </c>
      <c r="E264" s="2" t="s">
        <v>11</v>
      </c>
      <c r="F264" s="2">
        <v>3</v>
      </c>
      <c r="G264" s="2">
        <v>5994</v>
      </c>
      <c r="H264" s="2" t="str">
        <f>_xlfn.XLOOKUP(E264, Product_Master!A:A, Product_Master!B:B)</f>
        <v>Mobile</v>
      </c>
      <c r="I264" s="2" t="str">
        <f>_xlfn.XLOOKUP(E264, Product_Master!A:A, Product_Master!C:C)</f>
        <v>Electronics</v>
      </c>
      <c r="J264" s="2">
        <f>_xlfn.XLOOKUP(E264, Product_Master!A:A, Product_Master!D:D)</f>
        <v>18000</v>
      </c>
      <c r="K264" s="2">
        <f t="shared" si="16"/>
        <v>17982</v>
      </c>
      <c r="L264" s="2">
        <f t="shared" si="17"/>
        <v>54000</v>
      </c>
      <c r="M264" s="2">
        <f t="shared" si="18"/>
        <v>-36018</v>
      </c>
      <c r="N264" s="2">
        <f>_xlfn.XLOOKUP(D264, Sales_Rep_Master!A:A, Sales_Rep_Master!B:B)</f>
        <v>920000</v>
      </c>
      <c r="O264" s="4">
        <f t="shared" si="19"/>
        <v>1.9545652173913044E-2</v>
      </c>
    </row>
    <row r="265" spans="1:15" ht="15.75" x14ac:dyDescent="0.25">
      <c r="A265" s="3" t="s">
        <v>485</v>
      </c>
      <c r="B265" s="2" t="s">
        <v>293</v>
      </c>
      <c r="C265" s="2" t="s">
        <v>33</v>
      </c>
      <c r="D265" s="2" t="s">
        <v>10</v>
      </c>
      <c r="E265" s="2" t="s">
        <v>28</v>
      </c>
      <c r="F265" s="2">
        <v>3</v>
      </c>
      <c r="G265" s="2">
        <v>7707</v>
      </c>
      <c r="H265" s="2" t="str">
        <f>_xlfn.XLOOKUP(E265, Product_Master!A:A, Product_Master!B:B)</f>
        <v>Laptop</v>
      </c>
      <c r="I265" s="2" t="str">
        <f>_xlfn.XLOOKUP(E265, Product_Master!A:A, Product_Master!C:C)</f>
        <v>Electronics</v>
      </c>
      <c r="J265" s="2">
        <f>_xlfn.XLOOKUP(E265, Product_Master!A:A, Product_Master!D:D)</f>
        <v>35000</v>
      </c>
      <c r="K265" s="2">
        <f t="shared" si="16"/>
        <v>23121</v>
      </c>
      <c r="L265" s="2">
        <f t="shared" si="17"/>
        <v>105000</v>
      </c>
      <c r="M265" s="2">
        <f t="shared" si="18"/>
        <v>-81879</v>
      </c>
      <c r="N265" s="2">
        <f>_xlfn.XLOOKUP(D265, Sales_Rep_Master!A:A, Sales_Rep_Master!B:B)</f>
        <v>920000</v>
      </c>
      <c r="O265" s="4">
        <f t="shared" si="19"/>
        <v>2.5131521739130434E-2</v>
      </c>
    </row>
    <row r="266" spans="1:15" ht="15.75" hidden="1" x14ac:dyDescent="0.25">
      <c r="A266" s="3" t="s">
        <v>486</v>
      </c>
      <c r="B266" s="2" t="s">
        <v>368</v>
      </c>
      <c r="C266" s="2" t="s">
        <v>18</v>
      </c>
      <c r="D266" s="2" t="s">
        <v>10</v>
      </c>
      <c r="E266" s="2" t="s">
        <v>23</v>
      </c>
      <c r="F266" s="2">
        <v>8</v>
      </c>
      <c r="G266" s="2">
        <v>5687</v>
      </c>
      <c r="H266" s="2" t="str">
        <f>_xlfn.XLOOKUP(E266, Product_Master!A:A, Product_Master!B:B)</f>
        <v>Sofa</v>
      </c>
      <c r="I266" s="2" t="str">
        <f>_xlfn.XLOOKUP(E266, Product_Master!A:A, Product_Master!C:C)</f>
        <v>Furniture</v>
      </c>
      <c r="J266" s="2">
        <f>_xlfn.XLOOKUP(E266, Product_Master!A:A, Product_Master!D:D)</f>
        <v>15000</v>
      </c>
      <c r="K266" s="2">
        <f t="shared" si="16"/>
        <v>45496</v>
      </c>
      <c r="L266" s="2">
        <f t="shared" si="17"/>
        <v>120000</v>
      </c>
      <c r="M266" s="2">
        <f t="shared" si="18"/>
        <v>-74504</v>
      </c>
      <c r="N266" s="2">
        <f>_xlfn.XLOOKUP(D266, Sales_Rep_Master!A:A, Sales_Rep_Master!B:B)</f>
        <v>920000</v>
      </c>
      <c r="O266" s="4">
        <f t="shared" si="19"/>
        <v>4.9452173913043476E-2</v>
      </c>
    </row>
    <row r="267" spans="1:15" ht="15.75" x14ac:dyDescent="0.25">
      <c r="A267" s="3" t="s">
        <v>487</v>
      </c>
      <c r="B267" s="2" t="s">
        <v>216</v>
      </c>
      <c r="C267" s="2" t="s">
        <v>9</v>
      </c>
      <c r="D267" s="2" t="s">
        <v>19</v>
      </c>
      <c r="E267" s="2" t="s">
        <v>28</v>
      </c>
      <c r="F267" s="2">
        <v>7</v>
      </c>
      <c r="G267" s="2">
        <v>7706</v>
      </c>
      <c r="H267" s="2" t="str">
        <f>_xlfn.XLOOKUP(E267, Product_Master!A:A, Product_Master!B:B)</f>
        <v>Laptop</v>
      </c>
      <c r="I267" s="2" t="str">
        <f>_xlfn.XLOOKUP(E267, Product_Master!A:A, Product_Master!C:C)</f>
        <v>Electronics</v>
      </c>
      <c r="J267" s="2">
        <f>_xlfn.XLOOKUP(E267, Product_Master!A:A, Product_Master!D:D)</f>
        <v>35000</v>
      </c>
      <c r="K267" s="2">
        <f t="shared" si="16"/>
        <v>53942</v>
      </c>
      <c r="L267" s="2">
        <f t="shared" si="17"/>
        <v>245000</v>
      </c>
      <c r="M267" s="2">
        <f t="shared" si="18"/>
        <v>-191058</v>
      </c>
      <c r="N267" s="2">
        <f>_xlfn.XLOOKUP(D267, Sales_Rep_Master!A:A, Sales_Rep_Master!B:B)</f>
        <v>950000</v>
      </c>
      <c r="O267" s="4">
        <f t="shared" si="19"/>
        <v>5.6781052631578947E-2</v>
      </c>
    </row>
    <row r="268" spans="1:15" ht="15.75" hidden="1" x14ac:dyDescent="0.25">
      <c r="A268" s="3" t="s">
        <v>488</v>
      </c>
      <c r="B268" s="2" t="s">
        <v>187</v>
      </c>
      <c r="C268" s="2" t="s">
        <v>33</v>
      </c>
      <c r="D268" s="2" t="s">
        <v>51</v>
      </c>
      <c r="E268" s="2" t="s">
        <v>34</v>
      </c>
      <c r="F268" s="2">
        <v>14</v>
      </c>
      <c r="G268" s="2">
        <v>3201</v>
      </c>
      <c r="H268" s="2" t="str">
        <f>_xlfn.XLOOKUP(E268, Product_Master!A:A, Product_Master!B:B)</f>
        <v>Jacket</v>
      </c>
      <c r="I268" s="2" t="str">
        <f>_xlfn.XLOOKUP(E268, Product_Master!A:A, Product_Master!C:C)</f>
        <v>Clothing</v>
      </c>
      <c r="J268" s="2">
        <f>_xlfn.XLOOKUP(E268, Product_Master!A:A, Product_Master!D:D)</f>
        <v>1500</v>
      </c>
      <c r="K268" s="2">
        <f t="shared" si="16"/>
        <v>44814</v>
      </c>
      <c r="L268" s="2">
        <f t="shared" si="17"/>
        <v>21000</v>
      </c>
      <c r="M268" s="2">
        <f t="shared" si="18"/>
        <v>23814</v>
      </c>
      <c r="N268" s="2">
        <f>_xlfn.XLOOKUP(D268, Sales_Rep_Master!A:A, Sales_Rep_Master!B:B)</f>
        <v>900000</v>
      </c>
      <c r="O268" s="4">
        <f t="shared" si="19"/>
        <v>4.9793333333333335E-2</v>
      </c>
    </row>
    <row r="269" spans="1:15" ht="15.75" x14ac:dyDescent="0.25">
      <c r="A269" s="3" t="s">
        <v>489</v>
      </c>
      <c r="B269" s="2" t="s">
        <v>207</v>
      </c>
      <c r="C269" s="2" t="s">
        <v>9</v>
      </c>
      <c r="D269" s="2" t="s">
        <v>152</v>
      </c>
      <c r="E269" s="2" t="s">
        <v>20</v>
      </c>
      <c r="F269" s="2">
        <v>11</v>
      </c>
      <c r="G269" s="2">
        <v>7044</v>
      </c>
      <c r="H269" s="2" t="str">
        <f>_xlfn.XLOOKUP(E269, Product_Master!A:A, Product_Master!B:B)</f>
        <v>Headphones</v>
      </c>
      <c r="I269" s="2" t="str">
        <f>_xlfn.XLOOKUP(E269, Product_Master!A:A, Product_Master!C:C)</f>
        <v>Electronics</v>
      </c>
      <c r="J269" s="2">
        <f>_xlfn.XLOOKUP(E269, Product_Master!A:A, Product_Master!D:D)</f>
        <v>2000</v>
      </c>
      <c r="K269" s="2">
        <f t="shared" si="16"/>
        <v>77484</v>
      </c>
      <c r="L269" s="2">
        <f t="shared" si="17"/>
        <v>22000</v>
      </c>
      <c r="M269" s="2">
        <f t="shared" si="18"/>
        <v>55484</v>
      </c>
      <c r="N269" s="2">
        <f>_xlfn.XLOOKUP(D269, Sales_Rep_Master!A:A, Sales_Rep_Master!B:B)</f>
        <v>870000</v>
      </c>
      <c r="O269" s="4">
        <f t="shared" si="19"/>
        <v>8.9062068965517244E-2</v>
      </c>
    </row>
    <row r="270" spans="1:15" ht="15.75" hidden="1" x14ac:dyDescent="0.25">
      <c r="A270" s="3" t="s">
        <v>490</v>
      </c>
      <c r="B270" s="2" t="s">
        <v>243</v>
      </c>
      <c r="C270" s="2" t="s">
        <v>9</v>
      </c>
      <c r="D270" s="2" t="s">
        <v>14</v>
      </c>
      <c r="E270" s="2" t="s">
        <v>40</v>
      </c>
      <c r="F270" s="2">
        <v>7</v>
      </c>
      <c r="G270" s="2">
        <v>2766</v>
      </c>
      <c r="H270" s="2" t="str">
        <f>_xlfn.XLOOKUP(E270, Product_Master!A:A, Product_Master!B:B)</f>
        <v>Table</v>
      </c>
      <c r="I270" s="2" t="str">
        <f>_xlfn.XLOOKUP(E270, Product_Master!A:A, Product_Master!C:C)</f>
        <v>Furniture</v>
      </c>
      <c r="J270" s="2">
        <f>_xlfn.XLOOKUP(E270, Product_Master!A:A, Product_Master!D:D)</f>
        <v>7000</v>
      </c>
      <c r="K270" s="2">
        <f t="shared" si="16"/>
        <v>19362</v>
      </c>
      <c r="L270" s="2">
        <f t="shared" si="17"/>
        <v>49000</v>
      </c>
      <c r="M270" s="2">
        <f t="shared" si="18"/>
        <v>-29638</v>
      </c>
      <c r="N270" s="2">
        <f>_xlfn.XLOOKUP(D270, Sales_Rep_Master!A:A, Sales_Rep_Master!B:B)</f>
        <v>880000</v>
      </c>
      <c r="O270" s="4">
        <f t="shared" si="19"/>
        <v>2.2002272727272728E-2</v>
      </c>
    </row>
    <row r="271" spans="1:15" ht="15.75" hidden="1" x14ac:dyDescent="0.25">
      <c r="A271" s="3" t="s">
        <v>491</v>
      </c>
      <c r="B271" s="2" t="s">
        <v>492</v>
      </c>
      <c r="C271" s="2" t="s">
        <v>26</v>
      </c>
      <c r="D271" s="2" t="s">
        <v>14</v>
      </c>
      <c r="E271" s="2" t="s">
        <v>40</v>
      </c>
      <c r="F271" s="2">
        <v>7</v>
      </c>
      <c r="G271" s="2">
        <v>1135</v>
      </c>
      <c r="H271" s="2" t="str">
        <f>_xlfn.XLOOKUP(E271, Product_Master!A:A, Product_Master!B:B)</f>
        <v>Table</v>
      </c>
      <c r="I271" s="2" t="str">
        <f>_xlfn.XLOOKUP(E271, Product_Master!A:A, Product_Master!C:C)</f>
        <v>Furniture</v>
      </c>
      <c r="J271" s="2">
        <f>_xlfn.XLOOKUP(E271, Product_Master!A:A, Product_Master!D:D)</f>
        <v>7000</v>
      </c>
      <c r="K271" s="2">
        <f t="shared" si="16"/>
        <v>7945</v>
      </c>
      <c r="L271" s="2">
        <f t="shared" si="17"/>
        <v>49000</v>
      </c>
      <c r="M271" s="2">
        <f t="shared" si="18"/>
        <v>-41055</v>
      </c>
      <c r="N271" s="2">
        <f>_xlfn.XLOOKUP(D271, Sales_Rep_Master!A:A, Sales_Rep_Master!B:B)</f>
        <v>880000</v>
      </c>
      <c r="O271" s="4">
        <f t="shared" si="19"/>
        <v>9.0284090909090904E-3</v>
      </c>
    </row>
    <row r="272" spans="1:15" ht="15.75" hidden="1" x14ac:dyDescent="0.25">
      <c r="A272" s="3" t="s">
        <v>493</v>
      </c>
      <c r="B272" s="2" t="s">
        <v>85</v>
      </c>
      <c r="C272" s="2" t="s">
        <v>9</v>
      </c>
      <c r="D272" s="2" t="s">
        <v>10</v>
      </c>
      <c r="E272" s="2" t="s">
        <v>34</v>
      </c>
      <c r="F272" s="2">
        <v>9</v>
      </c>
      <c r="G272" s="2">
        <v>4374</v>
      </c>
      <c r="H272" s="2" t="str">
        <f>_xlfn.XLOOKUP(E272, Product_Master!A:A, Product_Master!B:B)</f>
        <v>Jacket</v>
      </c>
      <c r="I272" s="2" t="str">
        <f>_xlfn.XLOOKUP(E272, Product_Master!A:A, Product_Master!C:C)</f>
        <v>Clothing</v>
      </c>
      <c r="J272" s="2">
        <f>_xlfn.XLOOKUP(E272, Product_Master!A:A, Product_Master!D:D)</f>
        <v>1500</v>
      </c>
      <c r="K272" s="2">
        <f t="shared" si="16"/>
        <v>39366</v>
      </c>
      <c r="L272" s="2">
        <f t="shared" si="17"/>
        <v>13500</v>
      </c>
      <c r="M272" s="2">
        <f t="shared" si="18"/>
        <v>25866</v>
      </c>
      <c r="N272" s="2">
        <f>_xlfn.XLOOKUP(D272, Sales_Rep_Master!A:A, Sales_Rep_Master!B:B)</f>
        <v>920000</v>
      </c>
      <c r="O272" s="4">
        <f t="shared" si="19"/>
        <v>4.2789130434782607E-2</v>
      </c>
    </row>
    <row r="273" spans="1:15" ht="15.75" hidden="1" x14ac:dyDescent="0.25">
      <c r="A273" s="3" t="s">
        <v>494</v>
      </c>
      <c r="B273" s="2" t="s">
        <v>495</v>
      </c>
      <c r="C273" s="2" t="s">
        <v>33</v>
      </c>
      <c r="D273" s="2" t="s">
        <v>51</v>
      </c>
      <c r="E273" s="2" t="s">
        <v>61</v>
      </c>
      <c r="F273" s="2">
        <v>5</v>
      </c>
      <c r="G273" s="2">
        <v>2684</v>
      </c>
      <c r="H273" s="2" t="str">
        <f>_xlfn.XLOOKUP(E273, Product_Master!A:A, Product_Master!B:B)</f>
        <v>Shoes</v>
      </c>
      <c r="I273" s="2" t="str">
        <f>_xlfn.XLOOKUP(E273, Product_Master!A:A, Product_Master!C:C)</f>
        <v>Clothing</v>
      </c>
      <c r="J273" s="2">
        <f>_xlfn.XLOOKUP(E273, Product_Master!A:A, Product_Master!D:D)</f>
        <v>2000</v>
      </c>
      <c r="K273" s="2">
        <f t="shared" si="16"/>
        <v>13420</v>
      </c>
      <c r="L273" s="2">
        <f t="shared" si="17"/>
        <v>10000</v>
      </c>
      <c r="M273" s="2">
        <f t="shared" si="18"/>
        <v>3420</v>
      </c>
      <c r="N273" s="2">
        <f>_xlfn.XLOOKUP(D273, Sales_Rep_Master!A:A, Sales_Rep_Master!B:B)</f>
        <v>900000</v>
      </c>
      <c r="O273" s="4">
        <f t="shared" si="19"/>
        <v>1.4911111111111111E-2</v>
      </c>
    </row>
    <row r="274" spans="1:15" ht="15.75" hidden="1" x14ac:dyDescent="0.25">
      <c r="A274" s="3" t="s">
        <v>496</v>
      </c>
      <c r="B274" s="2" t="s">
        <v>81</v>
      </c>
      <c r="C274" s="2" t="s">
        <v>33</v>
      </c>
      <c r="D274" s="2" t="s">
        <v>54</v>
      </c>
      <c r="E274" s="2" t="s">
        <v>40</v>
      </c>
      <c r="F274" s="2">
        <v>2</v>
      </c>
      <c r="G274" s="2">
        <v>5153</v>
      </c>
      <c r="H274" s="2" t="str">
        <f>_xlfn.XLOOKUP(E274, Product_Master!A:A, Product_Master!B:B)</f>
        <v>Table</v>
      </c>
      <c r="I274" s="2" t="str">
        <f>_xlfn.XLOOKUP(E274, Product_Master!A:A, Product_Master!C:C)</f>
        <v>Furniture</v>
      </c>
      <c r="J274" s="2">
        <f>_xlfn.XLOOKUP(E274, Product_Master!A:A, Product_Master!D:D)</f>
        <v>7000</v>
      </c>
      <c r="K274" s="2">
        <f t="shared" si="16"/>
        <v>10306</v>
      </c>
      <c r="L274" s="2">
        <f t="shared" si="17"/>
        <v>14000</v>
      </c>
      <c r="M274" s="2">
        <f t="shared" si="18"/>
        <v>-3694</v>
      </c>
      <c r="N274" s="2">
        <f>_xlfn.XLOOKUP(D274, Sales_Rep_Master!A:A, Sales_Rep_Master!B:B)</f>
        <v>890000</v>
      </c>
      <c r="O274" s="4">
        <f t="shared" si="19"/>
        <v>1.1579775280898876E-2</v>
      </c>
    </row>
    <row r="275" spans="1:15" ht="15.75" x14ac:dyDescent="0.25">
      <c r="A275" s="3" t="s">
        <v>497</v>
      </c>
      <c r="B275" s="2" t="s">
        <v>145</v>
      </c>
      <c r="C275" s="2" t="s">
        <v>9</v>
      </c>
      <c r="D275" s="2" t="s">
        <v>152</v>
      </c>
      <c r="E275" s="2" t="s">
        <v>28</v>
      </c>
      <c r="F275" s="2">
        <v>12</v>
      </c>
      <c r="G275" s="2">
        <v>3790</v>
      </c>
      <c r="H275" s="2" t="str">
        <f>_xlfn.XLOOKUP(E275, Product_Master!A:A, Product_Master!B:B)</f>
        <v>Laptop</v>
      </c>
      <c r="I275" s="2" t="str">
        <f>_xlfn.XLOOKUP(E275, Product_Master!A:A, Product_Master!C:C)</f>
        <v>Electronics</v>
      </c>
      <c r="J275" s="2">
        <f>_xlfn.XLOOKUP(E275, Product_Master!A:A, Product_Master!D:D)</f>
        <v>35000</v>
      </c>
      <c r="K275" s="2">
        <f t="shared" si="16"/>
        <v>45480</v>
      </c>
      <c r="L275" s="2">
        <f t="shared" si="17"/>
        <v>420000</v>
      </c>
      <c r="M275" s="2">
        <f t="shared" si="18"/>
        <v>-374520</v>
      </c>
      <c r="N275" s="2">
        <f>_xlfn.XLOOKUP(D275, Sales_Rep_Master!A:A, Sales_Rep_Master!B:B)</f>
        <v>870000</v>
      </c>
      <c r="O275" s="4">
        <f t="shared" si="19"/>
        <v>5.227586206896552E-2</v>
      </c>
    </row>
    <row r="276" spans="1:15" ht="15.75" x14ac:dyDescent="0.25">
      <c r="A276" s="3" t="s">
        <v>498</v>
      </c>
      <c r="B276" s="2" t="s">
        <v>338</v>
      </c>
      <c r="C276" s="2" t="s">
        <v>33</v>
      </c>
      <c r="D276" s="2" t="s">
        <v>51</v>
      </c>
      <c r="E276" s="2" t="s">
        <v>20</v>
      </c>
      <c r="F276" s="2">
        <v>1</v>
      </c>
      <c r="G276" s="2">
        <v>1747</v>
      </c>
      <c r="H276" s="2" t="str">
        <f>_xlfn.XLOOKUP(E276, Product_Master!A:A, Product_Master!B:B)</f>
        <v>Headphones</v>
      </c>
      <c r="I276" s="2" t="str">
        <f>_xlfn.XLOOKUP(E276, Product_Master!A:A, Product_Master!C:C)</f>
        <v>Electronics</v>
      </c>
      <c r="J276" s="2">
        <f>_xlfn.XLOOKUP(E276, Product_Master!A:A, Product_Master!D:D)</f>
        <v>2000</v>
      </c>
      <c r="K276" s="2">
        <f t="shared" si="16"/>
        <v>1747</v>
      </c>
      <c r="L276" s="2">
        <f t="shared" si="17"/>
        <v>2000</v>
      </c>
      <c r="M276" s="2">
        <f t="shared" si="18"/>
        <v>-253</v>
      </c>
      <c r="N276" s="2">
        <f>_xlfn.XLOOKUP(D276, Sales_Rep_Master!A:A, Sales_Rep_Master!B:B)</f>
        <v>900000</v>
      </c>
      <c r="O276" s="4">
        <f t="shared" si="19"/>
        <v>1.9411111111111111E-3</v>
      </c>
    </row>
    <row r="277" spans="1:15" ht="15.75" hidden="1" x14ac:dyDescent="0.25">
      <c r="A277" s="3" t="s">
        <v>499</v>
      </c>
      <c r="B277" s="2" t="s">
        <v>500</v>
      </c>
      <c r="C277" s="2" t="s">
        <v>18</v>
      </c>
      <c r="D277" s="2" t="s">
        <v>37</v>
      </c>
      <c r="E277" s="2" t="s">
        <v>61</v>
      </c>
      <c r="F277" s="2">
        <v>10</v>
      </c>
      <c r="G277" s="2">
        <v>6810</v>
      </c>
      <c r="H277" s="2" t="str">
        <f>_xlfn.XLOOKUP(E277, Product_Master!A:A, Product_Master!B:B)</f>
        <v>Shoes</v>
      </c>
      <c r="I277" s="2" t="str">
        <f>_xlfn.XLOOKUP(E277, Product_Master!A:A, Product_Master!C:C)</f>
        <v>Clothing</v>
      </c>
      <c r="J277" s="2">
        <f>_xlfn.XLOOKUP(E277, Product_Master!A:A, Product_Master!D:D)</f>
        <v>2000</v>
      </c>
      <c r="K277" s="2">
        <f t="shared" si="16"/>
        <v>68100</v>
      </c>
      <c r="L277" s="2">
        <f t="shared" si="17"/>
        <v>20000</v>
      </c>
      <c r="M277" s="2">
        <f t="shared" si="18"/>
        <v>48100</v>
      </c>
      <c r="N277" s="2">
        <f>_xlfn.XLOOKUP(D277, Sales_Rep_Master!A:A, Sales_Rep_Master!B:B)</f>
        <v>850000</v>
      </c>
      <c r="O277" s="4">
        <f t="shared" si="19"/>
        <v>8.011764705882353E-2</v>
      </c>
    </row>
    <row r="278" spans="1:15" ht="15.75" x14ac:dyDescent="0.25">
      <c r="A278" s="3" t="s">
        <v>501</v>
      </c>
      <c r="B278" s="2" t="s">
        <v>470</v>
      </c>
      <c r="C278" s="2" t="s">
        <v>26</v>
      </c>
      <c r="D278" s="2" t="s">
        <v>54</v>
      </c>
      <c r="E278" s="2" t="s">
        <v>20</v>
      </c>
      <c r="F278" s="2">
        <v>15</v>
      </c>
      <c r="G278" s="2">
        <v>955</v>
      </c>
      <c r="H278" s="2" t="str">
        <f>_xlfn.XLOOKUP(E278, Product_Master!A:A, Product_Master!B:B)</f>
        <v>Headphones</v>
      </c>
      <c r="I278" s="2" t="str">
        <f>_xlfn.XLOOKUP(E278, Product_Master!A:A, Product_Master!C:C)</f>
        <v>Electronics</v>
      </c>
      <c r="J278" s="2">
        <f>_xlfn.XLOOKUP(E278, Product_Master!A:A, Product_Master!D:D)</f>
        <v>2000</v>
      </c>
      <c r="K278" s="2">
        <f t="shared" si="16"/>
        <v>14325</v>
      </c>
      <c r="L278" s="2">
        <f t="shared" si="17"/>
        <v>30000</v>
      </c>
      <c r="M278" s="2">
        <f t="shared" si="18"/>
        <v>-15675</v>
      </c>
      <c r="N278" s="2">
        <f>_xlfn.XLOOKUP(D278, Sales_Rep_Master!A:A, Sales_Rep_Master!B:B)</f>
        <v>890000</v>
      </c>
      <c r="O278" s="4">
        <f t="shared" si="19"/>
        <v>1.609550561797753E-2</v>
      </c>
    </row>
    <row r="279" spans="1:15" ht="15.75" hidden="1" x14ac:dyDescent="0.25">
      <c r="A279" s="3" t="s">
        <v>502</v>
      </c>
      <c r="B279" s="2" t="s">
        <v>422</v>
      </c>
      <c r="C279" s="2" t="s">
        <v>26</v>
      </c>
      <c r="D279" s="2" t="s">
        <v>37</v>
      </c>
      <c r="E279" s="2" t="s">
        <v>40</v>
      </c>
      <c r="F279" s="2">
        <v>6</v>
      </c>
      <c r="G279" s="2">
        <v>6775</v>
      </c>
      <c r="H279" s="2" t="str">
        <f>_xlfn.XLOOKUP(E279, Product_Master!A:A, Product_Master!B:B)</f>
        <v>Table</v>
      </c>
      <c r="I279" s="2" t="str">
        <f>_xlfn.XLOOKUP(E279, Product_Master!A:A, Product_Master!C:C)</f>
        <v>Furniture</v>
      </c>
      <c r="J279" s="2">
        <f>_xlfn.XLOOKUP(E279, Product_Master!A:A, Product_Master!D:D)</f>
        <v>7000</v>
      </c>
      <c r="K279" s="2">
        <f t="shared" si="16"/>
        <v>40650</v>
      </c>
      <c r="L279" s="2">
        <f t="shared" si="17"/>
        <v>42000</v>
      </c>
      <c r="M279" s="2">
        <f t="shared" si="18"/>
        <v>-1350</v>
      </c>
      <c r="N279" s="2">
        <f>_xlfn.XLOOKUP(D279, Sales_Rep_Master!A:A, Sales_Rep_Master!B:B)</f>
        <v>850000</v>
      </c>
      <c r="O279" s="4">
        <f t="shared" si="19"/>
        <v>4.7823529411764709E-2</v>
      </c>
    </row>
    <row r="280" spans="1:15" ht="15.75" hidden="1" x14ac:dyDescent="0.25">
      <c r="A280" s="3" t="s">
        <v>503</v>
      </c>
      <c r="B280" s="2" t="s">
        <v>189</v>
      </c>
      <c r="C280" s="2" t="s">
        <v>18</v>
      </c>
      <c r="D280" s="2" t="s">
        <v>14</v>
      </c>
      <c r="E280" s="2" t="s">
        <v>23</v>
      </c>
      <c r="F280" s="2">
        <v>5</v>
      </c>
      <c r="G280" s="2">
        <v>3423</v>
      </c>
      <c r="H280" s="2" t="str">
        <f>_xlfn.XLOOKUP(E280, Product_Master!A:A, Product_Master!B:B)</f>
        <v>Sofa</v>
      </c>
      <c r="I280" s="2" t="str">
        <f>_xlfn.XLOOKUP(E280, Product_Master!A:A, Product_Master!C:C)</f>
        <v>Furniture</v>
      </c>
      <c r="J280" s="2">
        <f>_xlfn.XLOOKUP(E280, Product_Master!A:A, Product_Master!D:D)</f>
        <v>15000</v>
      </c>
      <c r="K280" s="2">
        <f t="shared" si="16"/>
        <v>17115</v>
      </c>
      <c r="L280" s="2">
        <f t="shared" si="17"/>
        <v>75000</v>
      </c>
      <c r="M280" s="2">
        <f t="shared" si="18"/>
        <v>-57885</v>
      </c>
      <c r="N280" s="2">
        <f>_xlfn.XLOOKUP(D280, Sales_Rep_Master!A:A, Sales_Rep_Master!B:B)</f>
        <v>880000</v>
      </c>
      <c r="O280" s="4">
        <f t="shared" si="19"/>
        <v>1.9448863636363636E-2</v>
      </c>
    </row>
    <row r="281" spans="1:15" ht="15.75" hidden="1" x14ac:dyDescent="0.25">
      <c r="A281" s="3" t="s">
        <v>504</v>
      </c>
      <c r="B281" s="2" t="s">
        <v>505</v>
      </c>
      <c r="C281" s="2" t="s">
        <v>9</v>
      </c>
      <c r="D281" s="2" t="s">
        <v>152</v>
      </c>
      <c r="E281" s="2" t="s">
        <v>61</v>
      </c>
      <c r="F281" s="2">
        <v>8</v>
      </c>
      <c r="G281" s="2">
        <v>3980</v>
      </c>
      <c r="H281" s="2" t="str">
        <f>_xlfn.XLOOKUP(E281, Product_Master!A:A, Product_Master!B:B)</f>
        <v>Shoes</v>
      </c>
      <c r="I281" s="2" t="str">
        <f>_xlfn.XLOOKUP(E281, Product_Master!A:A, Product_Master!C:C)</f>
        <v>Clothing</v>
      </c>
      <c r="J281" s="2">
        <f>_xlfn.XLOOKUP(E281, Product_Master!A:A, Product_Master!D:D)</f>
        <v>2000</v>
      </c>
      <c r="K281" s="2">
        <f t="shared" si="16"/>
        <v>31840</v>
      </c>
      <c r="L281" s="2">
        <f t="shared" si="17"/>
        <v>16000</v>
      </c>
      <c r="M281" s="2">
        <f t="shared" si="18"/>
        <v>15840</v>
      </c>
      <c r="N281" s="2">
        <f>_xlfn.XLOOKUP(D281, Sales_Rep_Master!A:A, Sales_Rep_Master!B:B)</f>
        <v>870000</v>
      </c>
      <c r="O281" s="4">
        <f t="shared" si="19"/>
        <v>3.6597701149425288E-2</v>
      </c>
    </row>
    <row r="282" spans="1:15" ht="15.75" hidden="1" x14ac:dyDescent="0.25">
      <c r="A282" s="3" t="s">
        <v>506</v>
      </c>
      <c r="B282" s="2" t="s">
        <v>234</v>
      </c>
      <c r="C282" s="2" t="s">
        <v>18</v>
      </c>
      <c r="D282" s="2" t="s">
        <v>19</v>
      </c>
      <c r="E282" s="2" t="s">
        <v>23</v>
      </c>
      <c r="F282" s="2">
        <v>14</v>
      </c>
      <c r="G282" s="2">
        <v>3855</v>
      </c>
      <c r="H282" s="2" t="str">
        <f>_xlfn.XLOOKUP(E282, Product_Master!A:A, Product_Master!B:B)</f>
        <v>Sofa</v>
      </c>
      <c r="I282" s="2" t="str">
        <f>_xlfn.XLOOKUP(E282, Product_Master!A:A, Product_Master!C:C)</f>
        <v>Furniture</v>
      </c>
      <c r="J282" s="2">
        <f>_xlfn.XLOOKUP(E282, Product_Master!A:A, Product_Master!D:D)</f>
        <v>15000</v>
      </c>
      <c r="K282" s="2">
        <f t="shared" si="16"/>
        <v>53970</v>
      </c>
      <c r="L282" s="2">
        <f t="shared" si="17"/>
        <v>210000</v>
      </c>
      <c r="M282" s="2">
        <f t="shared" si="18"/>
        <v>-156030</v>
      </c>
      <c r="N282" s="2">
        <f>_xlfn.XLOOKUP(D282, Sales_Rep_Master!A:A, Sales_Rep_Master!B:B)</f>
        <v>950000</v>
      </c>
      <c r="O282" s="4">
        <f t="shared" si="19"/>
        <v>5.6810526315789471E-2</v>
      </c>
    </row>
    <row r="283" spans="1:15" ht="15.75" hidden="1" x14ac:dyDescent="0.25">
      <c r="A283" s="3" t="s">
        <v>507</v>
      </c>
      <c r="B283" s="2" t="s">
        <v>284</v>
      </c>
      <c r="C283" s="2" t="s">
        <v>9</v>
      </c>
      <c r="D283" s="2" t="s">
        <v>14</v>
      </c>
      <c r="E283" s="2" t="s">
        <v>34</v>
      </c>
      <c r="F283" s="2">
        <v>6</v>
      </c>
      <c r="G283" s="2">
        <v>4906</v>
      </c>
      <c r="H283" s="2" t="str">
        <f>_xlfn.XLOOKUP(E283, Product_Master!A:A, Product_Master!B:B)</f>
        <v>Jacket</v>
      </c>
      <c r="I283" s="2" t="str">
        <f>_xlfn.XLOOKUP(E283, Product_Master!A:A, Product_Master!C:C)</f>
        <v>Clothing</v>
      </c>
      <c r="J283" s="2">
        <f>_xlfn.XLOOKUP(E283, Product_Master!A:A, Product_Master!D:D)</f>
        <v>1500</v>
      </c>
      <c r="K283" s="2">
        <f t="shared" si="16"/>
        <v>29436</v>
      </c>
      <c r="L283" s="2">
        <f t="shared" si="17"/>
        <v>9000</v>
      </c>
      <c r="M283" s="2">
        <f t="shared" si="18"/>
        <v>20436</v>
      </c>
      <c r="N283" s="2">
        <f>_xlfn.XLOOKUP(D283, Sales_Rep_Master!A:A, Sales_Rep_Master!B:B)</f>
        <v>880000</v>
      </c>
      <c r="O283" s="4">
        <f t="shared" si="19"/>
        <v>3.3450000000000001E-2</v>
      </c>
    </row>
    <row r="284" spans="1:15" ht="15.75" hidden="1" x14ac:dyDescent="0.25">
      <c r="A284" s="3" t="s">
        <v>508</v>
      </c>
      <c r="B284" s="2" t="s">
        <v>509</v>
      </c>
      <c r="C284" s="2" t="s">
        <v>26</v>
      </c>
      <c r="D284" s="2" t="s">
        <v>14</v>
      </c>
      <c r="E284" s="2" t="s">
        <v>34</v>
      </c>
      <c r="F284" s="2">
        <v>15</v>
      </c>
      <c r="G284" s="2">
        <v>5926</v>
      </c>
      <c r="H284" s="2" t="str">
        <f>_xlfn.XLOOKUP(E284, Product_Master!A:A, Product_Master!B:B)</f>
        <v>Jacket</v>
      </c>
      <c r="I284" s="2" t="str">
        <f>_xlfn.XLOOKUP(E284, Product_Master!A:A, Product_Master!C:C)</f>
        <v>Clothing</v>
      </c>
      <c r="J284" s="2">
        <f>_xlfn.XLOOKUP(E284, Product_Master!A:A, Product_Master!D:D)</f>
        <v>1500</v>
      </c>
      <c r="K284" s="2">
        <f t="shared" si="16"/>
        <v>88890</v>
      </c>
      <c r="L284" s="2">
        <f t="shared" si="17"/>
        <v>22500</v>
      </c>
      <c r="M284" s="2">
        <f t="shared" si="18"/>
        <v>66390</v>
      </c>
      <c r="N284" s="2">
        <f>_xlfn.XLOOKUP(D284, Sales_Rep_Master!A:A, Sales_Rep_Master!B:B)</f>
        <v>880000</v>
      </c>
      <c r="O284" s="4">
        <f t="shared" si="19"/>
        <v>0.10101136363636364</v>
      </c>
    </row>
    <row r="285" spans="1:15" ht="15.75" x14ac:dyDescent="0.25">
      <c r="A285" s="3" t="s">
        <v>510</v>
      </c>
      <c r="B285" s="2" t="s">
        <v>511</v>
      </c>
      <c r="C285" s="2" t="s">
        <v>9</v>
      </c>
      <c r="D285" s="2" t="s">
        <v>152</v>
      </c>
      <c r="E285" s="2" t="s">
        <v>20</v>
      </c>
      <c r="F285" s="2">
        <v>14</v>
      </c>
      <c r="G285" s="2">
        <v>2989</v>
      </c>
      <c r="H285" s="2" t="str">
        <f>_xlfn.XLOOKUP(E285, Product_Master!A:A, Product_Master!B:B)</f>
        <v>Headphones</v>
      </c>
      <c r="I285" s="2" t="str">
        <f>_xlfn.XLOOKUP(E285, Product_Master!A:A, Product_Master!C:C)</f>
        <v>Electronics</v>
      </c>
      <c r="J285" s="2">
        <f>_xlfn.XLOOKUP(E285, Product_Master!A:A, Product_Master!D:D)</f>
        <v>2000</v>
      </c>
      <c r="K285" s="2">
        <f t="shared" si="16"/>
        <v>41846</v>
      </c>
      <c r="L285" s="2">
        <f t="shared" si="17"/>
        <v>28000</v>
      </c>
      <c r="M285" s="2">
        <f t="shared" si="18"/>
        <v>13846</v>
      </c>
      <c r="N285" s="2">
        <f>_xlfn.XLOOKUP(D285, Sales_Rep_Master!A:A, Sales_Rep_Master!B:B)</f>
        <v>870000</v>
      </c>
      <c r="O285" s="4">
        <f t="shared" si="19"/>
        <v>4.8098850574712644E-2</v>
      </c>
    </row>
    <row r="286" spans="1:15" ht="15.75" hidden="1" x14ac:dyDescent="0.25">
      <c r="A286" s="3" t="s">
        <v>512</v>
      </c>
      <c r="B286" s="2" t="s">
        <v>204</v>
      </c>
      <c r="C286" s="2" t="s">
        <v>18</v>
      </c>
      <c r="D286" s="2" t="s">
        <v>54</v>
      </c>
      <c r="E286" s="2" t="s">
        <v>34</v>
      </c>
      <c r="F286" s="2">
        <v>13</v>
      </c>
      <c r="G286" s="2">
        <v>6025</v>
      </c>
      <c r="H286" s="2" t="str">
        <f>_xlfn.XLOOKUP(E286, Product_Master!A:A, Product_Master!B:B)</f>
        <v>Jacket</v>
      </c>
      <c r="I286" s="2" t="str">
        <f>_xlfn.XLOOKUP(E286, Product_Master!A:A, Product_Master!C:C)</f>
        <v>Clothing</v>
      </c>
      <c r="J286" s="2">
        <f>_xlfn.XLOOKUP(E286, Product_Master!A:A, Product_Master!D:D)</f>
        <v>1500</v>
      </c>
      <c r="K286" s="2">
        <f t="shared" si="16"/>
        <v>78325</v>
      </c>
      <c r="L286" s="2">
        <f t="shared" si="17"/>
        <v>19500</v>
      </c>
      <c r="M286" s="2">
        <f t="shared" si="18"/>
        <v>58825</v>
      </c>
      <c r="N286" s="2">
        <f>_xlfn.XLOOKUP(D286, Sales_Rep_Master!A:A, Sales_Rep_Master!B:B)</f>
        <v>890000</v>
      </c>
      <c r="O286" s="4">
        <f t="shared" si="19"/>
        <v>8.8005617977528094E-2</v>
      </c>
    </row>
    <row r="287" spans="1:15" ht="15.75" hidden="1" x14ac:dyDescent="0.25">
      <c r="A287" s="3" t="s">
        <v>513</v>
      </c>
      <c r="B287" s="2" t="s">
        <v>131</v>
      </c>
      <c r="C287" s="2" t="s">
        <v>26</v>
      </c>
      <c r="D287" s="2" t="s">
        <v>19</v>
      </c>
      <c r="E287" s="2" t="s">
        <v>40</v>
      </c>
      <c r="F287" s="2">
        <v>3</v>
      </c>
      <c r="G287" s="2">
        <v>1829</v>
      </c>
      <c r="H287" s="2" t="str">
        <f>_xlfn.XLOOKUP(E287, Product_Master!A:A, Product_Master!B:B)</f>
        <v>Table</v>
      </c>
      <c r="I287" s="2" t="str">
        <f>_xlfn.XLOOKUP(E287, Product_Master!A:A, Product_Master!C:C)</f>
        <v>Furniture</v>
      </c>
      <c r="J287" s="2">
        <f>_xlfn.XLOOKUP(E287, Product_Master!A:A, Product_Master!D:D)</f>
        <v>7000</v>
      </c>
      <c r="K287" s="2">
        <f t="shared" si="16"/>
        <v>5487</v>
      </c>
      <c r="L287" s="2">
        <f t="shared" si="17"/>
        <v>21000</v>
      </c>
      <c r="M287" s="2">
        <f t="shared" si="18"/>
        <v>-15513</v>
      </c>
      <c r="N287" s="2">
        <f>_xlfn.XLOOKUP(D287, Sales_Rep_Master!A:A, Sales_Rep_Master!B:B)</f>
        <v>950000</v>
      </c>
      <c r="O287" s="4">
        <f t="shared" si="19"/>
        <v>5.7757894736842107E-3</v>
      </c>
    </row>
    <row r="288" spans="1:15" ht="15.75" hidden="1" x14ac:dyDescent="0.25">
      <c r="A288" s="3" t="s">
        <v>514</v>
      </c>
      <c r="B288" s="2" t="s">
        <v>249</v>
      </c>
      <c r="C288" s="2" t="s">
        <v>18</v>
      </c>
      <c r="D288" s="2" t="s">
        <v>152</v>
      </c>
      <c r="E288" s="2" t="s">
        <v>61</v>
      </c>
      <c r="F288" s="2">
        <v>5</v>
      </c>
      <c r="G288" s="2">
        <v>1942</v>
      </c>
      <c r="H288" s="2" t="str">
        <f>_xlfn.XLOOKUP(E288, Product_Master!A:A, Product_Master!B:B)</f>
        <v>Shoes</v>
      </c>
      <c r="I288" s="2" t="str">
        <f>_xlfn.XLOOKUP(E288, Product_Master!A:A, Product_Master!C:C)</f>
        <v>Clothing</v>
      </c>
      <c r="J288" s="2">
        <f>_xlfn.XLOOKUP(E288, Product_Master!A:A, Product_Master!D:D)</f>
        <v>2000</v>
      </c>
      <c r="K288" s="2">
        <f t="shared" si="16"/>
        <v>9710</v>
      </c>
      <c r="L288" s="2">
        <f t="shared" si="17"/>
        <v>10000</v>
      </c>
      <c r="M288" s="2">
        <f t="shared" si="18"/>
        <v>-290</v>
      </c>
      <c r="N288" s="2">
        <f>_xlfn.XLOOKUP(D288, Sales_Rep_Master!A:A, Sales_Rep_Master!B:B)</f>
        <v>870000</v>
      </c>
      <c r="O288" s="4">
        <f t="shared" si="19"/>
        <v>1.1160919540229885E-2</v>
      </c>
    </row>
    <row r="289" spans="1:15" ht="15.75" hidden="1" x14ac:dyDescent="0.25">
      <c r="A289" s="3" t="s">
        <v>515</v>
      </c>
      <c r="B289" s="2" t="s">
        <v>516</v>
      </c>
      <c r="C289" s="2" t="s">
        <v>9</v>
      </c>
      <c r="D289" s="2" t="s">
        <v>27</v>
      </c>
      <c r="E289" s="2" t="s">
        <v>40</v>
      </c>
      <c r="F289" s="2">
        <v>4</v>
      </c>
      <c r="G289" s="2">
        <v>3536</v>
      </c>
      <c r="H289" s="2" t="str">
        <f>_xlfn.XLOOKUP(E289, Product_Master!A:A, Product_Master!B:B)</f>
        <v>Table</v>
      </c>
      <c r="I289" s="2" t="str">
        <f>_xlfn.XLOOKUP(E289, Product_Master!A:A, Product_Master!C:C)</f>
        <v>Furniture</v>
      </c>
      <c r="J289" s="2">
        <f>_xlfn.XLOOKUP(E289, Product_Master!A:A, Product_Master!D:D)</f>
        <v>7000</v>
      </c>
      <c r="K289" s="2">
        <f t="shared" si="16"/>
        <v>14144</v>
      </c>
      <c r="L289" s="2">
        <f t="shared" si="17"/>
        <v>28000</v>
      </c>
      <c r="M289" s="2">
        <f t="shared" si="18"/>
        <v>-13856</v>
      </c>
      <c r="N289" s="2">
        <f>_xlfn.XLOOKUP(D289, Sales_Rep_Master!A:A, Sales_Rep_Master!B:B)</f>
        <v>800000</v>
      </c>
      <c r="O289" s="4">
        <f t="shared" si="19"/>
        <v>1.7680000000000001E-2</v>
      </c>
    </row>
    <row r="290" spans="1:15" ht="15.75" hidden="1" x14ac:dyDescent="0.25">
      <c r="A290" s="3" t="s">
        <v>517</v>
      </c>
      <c r="B290" s="2" t="s">
        <v>518</v>
      </c>
      <c r="C290" s="2" t="s">
        <v>9</v>
      </c>
      <c r="D290" s="2" t="s">
        <v>54</v>
      </c>
      <c r="E290" s="2" t="s">
        <v>61</v>
      </c>
      <c r="F290" s="2">
        <v>11</v>
      </c>
      <c r="G290" s="2">
        <v>5407</v>
      </c>
      <c r="H290" s="2" t="str">
        <f>_xlfn.XLOOKUP(E290, Product_Master!A:A, Product_Master!B:B)</f>
        <v>Shoes</v>
      </c>
      <c r="I290" s="2" t="str">
        <f>_xlfn.XLOOKUP(E290, Product_Master!A:A, Product_Master!C:C)</f>
        <v>Clothing</v>
      </c>
      <c r="J290" s="2">
        <f>_xlfn.XLOOKUP(E290, Product_Master!A:A, Product_Master!D:D)</f>
        <v>2000</v>
      </c>
      <c r="K290" s="2">
        <f t="shared" si="16"/>
        <v>59477</v>
      </c>
      <c r="L290" s="2">
        <f t="shared" si="17"/>
        <v>22000</v>
      </c>
      <c r="M290" s="2">
        <f t="shared" si="18"/>
        <v>37477</v>
      </c>
      <c r="N290" s="2">
        <f>_xlfn.XLOOKUP(D290, Sales_Rep_Master!A:A, Sales_Rep_Master!B:B)</f>
        <v>890000</v>
      </c>
      <c r="O290" s="4">
        <f t="shared" si="19"/>
        <v>6.6828089887640454E-2</v>
      </c>
    </row>
    <row r="291" spans="1:15" ht="15.75" hidden="1" x14ac:dyDescent="0.25">
      <c r="A291" s="3" t="s">
        <v>519</v>
      </c>
      <c r="B291" s="2" t="s">
        <v>520</v>
      </c>
      <c r="C291" s="2" t="s">
        <v>33</v>
      </c>
      <c r="D291" s="2" t="s">
        <v>14</v>
      </c>
      <c r="E291" s="2" t="s">
        <v>34</v>
      </c>
      <c r="F291" s="2">
        <v>6</v>
      </c>
      <c r="G291" s="2">
        <v>4874</v>
      </c>
      <c r="H291" s="2" t="str">
        <f>_xlfn.XLOOKUP(E291, Product_Master!A:A, Product_Master!B:B)</f>
        <v>Jacket</v>
      </c>
      <c r="I291" s="2" t="str">
        <f>_xlfn.XLOOKUP(E291, Product_Master!A:A, Product_Master!C:C)</f>
        <v>Clothing</v>
      </c>
      <c r="J291" s="2">
        <f>_xlfn.XLOOKUP(E291, Product_Master!A:A, Product_Master!D:D)</f>
        <v>1500</v>
      </c>
      <c r="K291" s="2">
        <f t="shared" si="16"/>
        <v>29244</v>
      </c>
      <c r="L291" s="2">
        <f t="shared" si="17"/>
        <v>9000</v>
      </c>
      <c r="M291" s="2">
        <f t="shared" si="18"/>
        <v>20244</v>
      </c>
      <c r="N291" s="2">
        <f>_xlfn.XLOOKUP(D291, Sales_Rep_Master!A:A, Sales_Rep_Master!B:B)</f>
        <v>880000</v>
      </c>
      <c r="O291" s="4">
        <f t="shared" si="19"/>
        <v>3.3231818181818182E-2</v>
      </c>
    </row>
    <row r="292" spans="1:15" ht="15.75" x14ac:dyDescent="0.25">
      <c r="A292" s="3" t="s">
        <v>521</v>
      </c>
      <c r="B292" s="2" t="s">
        <v>104</v>
      </c>
      <c r="C292" s="2" t="s">
        <v>33</v>
      </c>
      <c r="D292" s="2" t="s">
        <v>14</v>
      </c>
      <c r="E292" s="2" t="s">
        <v>28</v>
      </c>
      <c r="F292" s="2">
        <v>11</v>
      </c>
      <c r="G292" s="2">
        <v>7568</v>
      </c>
      <c r="H292" s="2" t="str">
        <f>_xlfn.XLOOKUP(E292, Product_Master!A:A, Product_Master!B:B)</f>
        <v>Laptop</v>
      </c>
      <c r="I292" s="2" t="str">
        <f>_xlfn.XLOOKUP(E292, Product_Master!A:A, Product_Master!C:C)</f>
        <v>Electronics</v>
      </c>
      <c r="J292" s="2">
        <f>_xlfn.XLOOKUP(E292, Product_Master!A:A, Product_Master!D:D)</f>
        <v>35000</v>
      </c>
      <c r="K292" s="2">
        <f t="shared" si="16"/>
        <v>83248</v>
      </c>
      <c r="L292" s="2">
        <f t="shared" si="17"/>
        <v>385000</v>
      </c>
      <c r="M292" s="2">
        <f t="shared" si="18"/>
        <v>-301752</v>
      </c>
      <c r="N292" s="2">
        <f>_xlfn.XLOOKUP(D292, Sales_Rep_Master!A:A, Sales_Rep_Master!B:B)</f>
        <v>880000</v>
      </c>
      <c r="O292" s="4">
        <f t="shared" si="19"/>
        <v>9.4600000000000004E-2</v>
      </c>
    </row>
    <row r="293" spans="1:15" ht="15.75" hidden="1" x14ac:dyDescent="0.25">
      <c r="A293" s="3" t="s">
        <v>522</v>
      </c>
      <c r="B293" s="2" t="s">
        <v>106</v>
      </c>
      <c r="C293" s="2" t="s">
        <v>18</v>
      </c>
      <c r="D293" s="2" t="s">
        <v>37</v>
      </c>
      <c r="E293" s="2" t="s">
        <v>40</v>
      </c>
      <c r="F293" s="2">
        <v>14</v>
      </c>
      <c r="G293" s="2">
        <v>1711</v>
      </c>
      <c r="H293" s="2" t="str">
        <f>_xlfn.XLOOKUP(E293, Product_Master!A:A, Product_Master!B:B)</f>
        <v>Table</v>
      </c>
      <c r="I293" s="2" t="str">
        <f>_xlfn.XLOOKUP(E293, Product_Master!A:A, Product_Master!C:C)</f>
        <v>Furniture</v>
      </c>
      <c r="J293" s="2">
        <f>_xlfn.XLOOKUP(E293, Product_Master!A:A, Product_Master!D:D)</f>
        <v>7000</v>
      </c>
      <c r="K293" s="2">
        <f t="shared" si="16"/>
        <v>23954</v>
      </c>
      <c r="L293" s="2">
        <f t="shared" si="17"/>
        <v>98000</v>
      </c>
      <c r="M293" s="2">
        <f t="shared" si="18"/>
        <v>-74046</v>
      </c>
      <c r="N293" s="2">
        <f>_xlfn.XLOOKUP(D293, Sales_Rep_Master!A:A, Sales_Rep_Master!B:B)</f>
        <v>850000</v>
      </c>
      <c r="O293" s="4">
        <f t="shared" si="19"/>
        <v>2.8181176470588234E-2</v>
      </c>
    </row>
    <row r="294" spans="1:15" ht="15.75" x14ac:dyDescent="0.25">
      <c r="A294" s="3" t="s">
        <v>523</v>
      </c>
      <c r="B294" s="2" t="s">
        <v>524</v>
      </c>
      <c r="C294" s="2" t="s">
        <v>33</v>
      </c>
      <c r="D294" s="2" t="s">
        <v>37</v>
      </c>
      <c r="E294" s="2" t="s">
        <v>11</v>
      </c>
      <c r="F294" s="2">
        <v>10</v>
      </c>
      <c r="G294" s="2">
        <v>1321</v>
      </c>
      <c r="H294" s="2" t="str">
        <f>_xlfn.XLOOKUP(E294, Product_Master!A:A, Product_Master!B:B)</f>
        <v>Mobile</v>
      </c>
      <c r="I294" s="2" t="str">
        <f>_xlfn.XLOOKUP(E294, Product_Master!A:A, Product_Master!C:C)</f>
        <v>Electronics</v>
      </c>
      <c r="J294" s="2">
        <f>_xlfn.XLOOKUP(E294, Product_Master!A:A, Product_Master!D:D)</f>
        <v>18000</v>
      </c>
      <c r="K294" s="2">
        <f t="shared" si="16"/>
        <v>13210</v>
      </c>
      <c r="L294" s="2">
        <f t="shared" si="17"/>
        <v>180000</v>
      </c>
      <c r="M294" s="2">
        <f t="shared" si="18"/>
        <v>-166790</v>
      </c>
      <c r="N294" s="2">
        <f>_xlfn.XLOOKUP(D294, Sales_Rep_Master!A:A, Sales_Rep_Master!B:B)</f>
        <v>850000</v>
      </c>
      <c r="O294" s="4">
        <f t="shared" si="19"/>
        <v>1.5541176470588235E-2</v>
      </c>
    </row>
    <row r="295" spans="1:15" ht="15.75" x14ac:dyDescent="0.25">
      <c r="A295" s="3" t="s">
        <v>525</v>
      </c>
      <c r="B295" s="2" t="s">
        <v>293</v>
      </c>
      <c r="C295" s="2" t="s">
        <v>18</v>
      </c>
      <c r="D295" s="2" t="s">
        <v>19</v>
      </c>
      <c r="E295" s="2" t="s">
        <v>20</v>
      </c>
      <c r="F295" s="2">
        <v>4</v>
      </c>
      <c r="G295" s="2">
        <v>2873</v>
      </c>
      <c r="H295" s="2" t="str">
        <f>_xlfn.XLOOKUP(E295, Product_Master!A:A, Product_Master!B:B)</f>
        <v>Headphones</v>
      </c>
      <c r="I295" s="2" t="str">
        <f>_xlfn.XLOOKUP(E295, Product_Master!A:A, Product_Master!C:C)</f>
        <v>Electronics</v>
      </c>
      <c r="J295" s="2">
        <f>_xlfn.XLOOKUP(E295, Product_Master!A:A, Product_Master!D:D)</f>
        <v>2000</v>
      </c>
      <c r="K295" s="2">
        <f t="shared" si="16"/>
        <v>11492</v>
      </c>
      <c r="L295" s="2">
        <f t="shared" si="17"/>
        <v>8000</v>
      </c>
      <c r="M295" s="2">
        <f t="shared" si="18"/>
        <v>3492</v>
      </c>
      <c r="N295" s="2">
        <f>_xlfn.XLOOKUP(D295, Sales_Rep_Master!A:A, Sales_Rep_Master!B:B)</f>
        <v>950000</v>
      </c>
      <c r="O295" s="4">
        <f t="shared" si="19"/>
        <v>1.2096842105263158E-2</v>
      </c>
    </row>
    <row r="296" spans="1:15" ht="15.75" hidden="1" x14ac:dyDescent="0.25">
      <c r="A296" s="3" t="s">
        <v>526</v>
      </c>
      <c r="B296" s="2" t="s">
        <v>527</v>
      </c>
      <c r="C296" s="2" t="s">
        <v>26</v>
      </c>
      <c r="D296" s="2" t="s">
        <v>27</v>
      </c>
      <c r="E296" s="2" t="s">
        <v>40</v>
      </c>
      <c r="F296" s="2">
        <v>1</v>
      </c>
      <c r="G296" s="2">
        <v>4348</v>
      </c>
      <c r="H296" s="2" t="str">
        <f>_xlfn.XLOOKUP(E296, Product_Master!A:A, Product_Master!B:B)</f>
        <v>Table</v>
      </c>
      <c r="I296" s="2" t="str">
        <f>_xlfn.XLOOKUP(E296, Product_Master!A:A, Product_Master!C:C)</f>
        <v>Furniture</v>
      </c>
      <c r="J296" s="2">
        <f>_xlfn.XLOOKUP(E296, Product_Master!A:A, Product_Master!D:D)</f>
        <v>7000</v>
      </c>
      <c r="K296" s="2">
        <f t="shared" si="16"/>
        <v>4348</v>
      </c>
      <c r="L296" s="2">
        <f t="shared" si="17"/>
        <v>7000</v>
      </c>
      <c r="M296" s="2">
        <f t="shared" si="18"/>
        <v>-2652</v>
      </c>
      <c r="N296" s="2">
        <f>_xlfn.XLOOKUP(D296, Sales_Rep_Master!A:A, Sales_Rep_Master!B:B)</f>
        <v>800000</v>
      </c>
      <c r="O296" s="4">
        <f t="shared" si="19"/>
        <v>5.4349999999999997E-3</v>
      </c>
    </row>
    <row r="297" spans="1:15" ht="15.75" hidden="1" x14ac:dyDescent="0.25">
      <c r="A297" s="3" t="s">
        <v>528</v>
      </c>
      <c r="B297" s="2" t="s">
        <v>60</v>
      </c>
      <c r="C297" s="2" t="s">
        <v>9</v>
      </c>
      <c r="D297" s="2" t="s">
        <v>10</v>
      </c>
      <c r="E297" s="2" t="s">
        <v>34</v>
      </c>
      <c r="F297" s="2">
        <v>9</v>
      </c>
      <c r="G297" s="2">
        <v>5555</v>
      </c>
      <c r="H297" s="2" t="str">
        <f>_xlfn.XLOOKUP(E297, Product_Master!A:A, Product_Master!B:B)</f>
        <v>Jacket</v>
      </c>
      <c r="I297" s="2" t="str">
        <f>_xlfn.XLOOKUP(E297, Product_Master!A:A, Product_Master!C:C)</f>
        <v>Clothing</v>
      </c>
      <c r="J297" s="2">
        <f>_xlfn.XLOOKUP(E297, Product_Master!A:A, Product_Master!D:D)</f>
        <v>1500</v>
      </c>
      <c r="K297" s="2">
        <f t="shared" si="16"/>
        <v>49995</v>
      </c>
      <c r="L297" s="2">
        <f t="shared" si="17"/>
        <v>13500</v>
      </c>
      <c r="M297" s="2">
        <f t="shared" si="18"/>
        <v>36495</v>
      </c>
      <c r="N297" s="2">
        <f>_xlfn.XLOOKUP(D297, Sales_Rep_Master!A:A, Sales_Rep_Master!B:B)</f>
        <v>920000</v>
      </c>
      <c r="O297" s="4">
        <f t="shared" si="19"/>
        <v>5.4342391304347828E-2</v>
      </c>
    </row>
    <row r="298" spans="1:15" ht="15.75" x14ac:dyDescent="0.25">
      <c r="A298" s="3" t="s">
        <v>529</v>
      </c>
      <c r="B298" s="2" t="s">
        <v>530</v>
      </c>
      <c r="C298" s="2" t="s">
        <v>33</v>
      </c>
      <c r="D298" s="2" t="s">
        <v>10</v>
      </c>
      <c r="E298" s="2" t="s">
        <v>11</v>
      </c>
      <c r="F298" s="2">
        <v>12</v>
      </c>
      <c r="G298" s="2">
        <v>4102</v>
      </c>
      <c r="H298" s="2" t="str">
        <f>_xlfn.XLOOKUP(E298, Product_Master!A:A, Product_Master!B:B)</f>
        <v>Mobile</v>
      </c>
      <c r="I298" s="2" t="str">
        <f>_xlfn.XLOOKUP(E298, Product_Master!A:A, Product_Master!C:C)</f>
        <v>Electronics</v>
      </c>
      <c r="J298" s="2">
        <f>_xlfn.XLOOKUP(E298, Product_Master!A:A, Product_Master!D:D)</f>
        <v>18000</v>
      </c>
      <c r="K298" s="2">
        <f t="shared" si="16"/>
        <v>49224</v>
      </c>
      <c r="L298" s="2">
        <f t="shared" si="17"/>
        <v>216000</v>
      </c>
      <c r="M298" s="2">
        <f t="shared" si="18"/>
        <v>-166776</v>
      </c>
      <c r="N298" s="2">
        <f>_xlfn.XLOOKUP(D298, Sales_Rep_Master!A:A, Sales_Rep_Master!B:B)</f>
        <v>920000</v>
      </c>
      <c r="O298" s="4">
        <f t="shared" si="19"/>
        <v>5.3504347826086956E-2</v>
      </c>
    </row>
    <row r="299" spans="1:15" ht="15.75" x14ac:dyDescent="0.25">
      <c r="A299" s="3" t="s">
        <v>531</v>
      </c>
      <c r="B299" s="2" t="s">
        <v>532</v>
      </c>
      <c r="C299" s="2" t="s">
        <v>9</v>
      </c>
      <c r="D299" s="2" t="s">
        <v>51</v>
      </c>
      <c r="E299" s="2" t="s">
        <v>20</v>
      </c>
      <c r="F299" s="2">
        <v>4</v>
      </c>
      <c r="G299" s="2">
        <v>2785</v>
      </c>
      <c r="H299" s="2" t="str">
        <f>_xlfn.XLOOKUP(E299, Product_Master!A:A, Product_Master!B:B)</f>
        <v>Headphones</v>
      </c>
      <c r="I299" s="2" t="str">
        <f>_xlfn.XLOOKUP(E299, Product_Master!A:A, Product_Master!C:C)</f>
        <v>Electronics</v>
      </c>
      <c r="J299" s="2">
        <f>_xlfn.XLOOKUP(E299, Product_Master!A:A, Product_Master!D:D)</f>
        <v>2000</v>
      </c>
      <c r="K299" s="2">
        <f t="shared" si="16"/>
        <v>11140</v>
      </c>
      <c r="L299" s="2">
        <f t="shared" si="17"/>
        <v>8000</v>
      </c>
      <c r="M299" s="2">
        <f t="shared" si="18"/>
        <v>3140</v>
      </c>
      <c r="N299" s="2">
        <f>_xlfn.XLOOKUP(D299, Sales_Rep_Master!A:A, Sales_Rep_Master!B:B)</f>
        <v>900000</v>
      </c>
      <c r="O299" s="4">
        <f t="shared" si="19"/>
        <v>1.2377777777777777E-2</v>
      </c>
    </row>
    <row r="300" spans="1:15" ht="15.75" hidden="1" x14ac:dyDescent="0.25">
      <c r="A300" s="3" t="s">
        <v>533</v>
      </c>
      <c r="B300" s="2" t="s">
        <v>534</v>
      </c>
      <c r="C300" s="2" t="s">
        <v>18</v>
      </c>
      <c r="D300" s="2" t="s">
        <v>54</v>
      </c>
      <c r="E300" s="2" t="s">
        <v>15</v>
      </c>
      <c r="F300" s="2">
        <v>8</v>
      </c>
      <c r="G300" s="2">
        <v>1816</v>
      </c>
      <c r="H300" s="2" t="str">
        <f>_xlfn.XLOOKUP(E300, Product_Master!A:A, Product_Master!B:B)</f>
        <v>Chair</v>
      </c>
      <c r="I300" s="2" t="str">
        <f>_xlfn.XLOOKUP(E300, Product_Master!A:A, Product_Master!C:C)</f>
        <v>Furniture</v>
      </c>
      <c r="J300" s="2">
        <f>_xlfn.XLOOKUP(E300, Product_Master!A:A, Product_Master!D:D)</f>
        <v>2500</v>
      </c>
      <c r="K300" s="2">
        <f t="shared" si="16"/>
        <v>14528</v>
      </c>
      <c r="L300" s="2">
        <f t="shared" si="17"/>
        <v>20000</v>
      </c>
      <c r="M300" s="2">
        <f t="shared" si="18"/>
        <v>-5472</v>
      </c>
      <c r="N300" s="2">
        <f>_xlfn.XLOOKUP(D300, Sales_Rep_Master!A:A, Sales_Rep_Master!B:B)</f>
        <v>890000</v>
      </c>
      <c r="O300" s="4">
        <f t="shared" si="19"/>
        <v>1.6323595505617978E-2</v>
      </c>
    </row>
    <row r="301" spans="1:15" ht="15.75" x14ac:dyDescent="0.25">
      <c r="A301" s="3" t="s">
        <v>535</v>
      </c>
      <c r="B301" s="2" t="s">
        <v>477</v>
      </c>
      <c r="C301" s="2" t="s">
        <v>9</v>
      </c>
      <c r="D301" s="2" t="s">
        <v>152</v>
      </c>
      <c r="E301" s="2" t="s">
        <v>11</v>
      </c>
      <c r="F301" s="2">
        <v>2</v>
      </c>
      <c r="G301" s="2">
        <v>5379</v>
      </c>
      <c r="H301" s="2" t="str">
        <f>_xlfn.XLOOKUP(E301, Product_Master!A:A, Product_Master!B:B)</f>
        <v>Mobile</v>
      </c>
      <c r="I301" s="2" t="str">
        <f>_xlfn.XLOOKUP(E301, Product_Master!A:A, Product_Master!C:C)</f>
        <v>Electronics</v>
      </c>
      <c r="J301" s="2">
        <f>_xlfn.XLOOKUP(E301, Product_Master!A:A, Product_Master!D:D)</f>
        <v>18000</v>
      </c>
      <c r="K301" s="2">
        <f t="shared" si="16"/>
        <v>10758</v>
      </c>
      <c r="L301" s="2">
        <f t="shared" si="17"/>
        <v>36000</v>
      </c>
      <c r="M301" s="2">
        <f t="shared" si="18"/>
        <v>-25242</v>
      </c>
      <c r="N301" s="2">
        <f>_xlfn.XLOOKUP(D301, Sales_Rep_Master!A:A, Sales_Rep_Master!B:B)</f>
        <v>870000</v>
      </c>
      <c r="O301" s="4">
        <f t="shared" si="19"/>
        <v>1.236551724137931E-2</v>
      </c>
    </row>
    <row r="302" spans="1:15" ht="15.75" x14ac:dyDescent="0.25">
      <c r="A302" s="3" t="s">
        <v>536</v>
      </c>
      <c r="B302" s="2" t="s">
        <v>399</v>
      </c>
      <c r="C302" s="2" t="s">
        <v>33</v>
      </c>
      <c r="D302" s="2" t="s">
        <v>10</v>
      </c>
      <c r="E302" s="2" t="s">
        <v>28</v>
      </c>
      <c r="F302" s="2">
        <v>1</v>
      </c>
      <c r="G302" s="2">
        <v>3525</v>
      </c>
      <c r="H302" s="2" t="str">
        <f>_xlfn.XLOOKUP(E302, Product_Master!A:A, Product_Master!B:B)</f>
        <v>Laptop</v>
      </c>
      <c r="I302" s="2" t="str">
        <f>_xlfn.XLOOKUP(E302, Product_Master!A:A, Product_Master!C:C)</f>
        <v>Electronics</v>
      </c>
      <c r="J302" s="2">
        <f>_xlfn.XLOOKUP(E302, Product_Master!A:A, Product_Master!D:D)</f>
        <v>35000</v>
      </c>
      <c r="K302" s="2">
        <f t="shared" si="16"/>
        <v>3525</v>
      </c>
      <c r="L302" s="2">
        <f t="shared" si="17"/>
        <v>35000</v>
      </c>
      <c r="M302" s="2">
        <f t="shared" si="18"/>
        <v>-31475</v>
      </c>
      <c r="N302" s="2">
        <f>_xlfn.XLOOKUP(D302, Sales_Rep_Master!A:A, Sales_Rep_Master!B:B)</f>
        <v>920000</v>
      </c>
      <c r="O302" s="4">
        <f t="shared" si="19"/>
        <v>3.8315217391304349E-3</v>
      </c>
    </row>
    <row r="303" spans="1:15" ht="15.75" x14ac:dyDescent="0.25">
      <c r="A303" s="3" t="s">
        <v>537</v>
      </c>
      <c r="B303" s="2" t="s">
        <v>204</v>
      </c>
      <c r="C303" s="2" t="s">
        <v>26</v>
      </c>
      <c r="D303" s="2" t="s">
        <v>14</v>
      </c>
      <c r="E303" s="2" t="s">
        <v>28</v>
      </c>
      <c r="F303" s="2">
        <v>5</v>
      </c>
      <c r="G303" s="2">
        <v>5086</v>
      </c>
      <c r="H303" s="2" t="str">
        <f>_xlfn.XLOOKUP(E303, Product_Master!A:A, Product_Master!B:B)</f>
        <v>Laptop</v>
      </c>
      <c r="I303" s="2" t="str">
        <f>_xlfn.XLOOKUP(E303, Product_Master!A:A, Product_Master!C:C)</f>
        <v>Electronics</v>
      </c>
      <c r="J303" s="2">
        <f>_xlfn.XLOOKUP(E303, Product_Master!A:A, Product_Master!D:D)</f>
        <v>35000</v>
      </c>
      <c r="K303" s="2">
        <f t="shared" si="16"/>
        <v>25430</v>
      </c>
      <c r="L303" s="2">
        <f t="shared" si="17"/>
        <v>175000</v>
      </c>
      <c r="M303" s="2">
        <f t="shared" si="18"/>
        <v>-149570</v>
      </c>
      <c r="N303" s="2">
        <f>_xlfn.XLOOKUP(D303, Sales_Rep_Master!A:A, Sales_Rep_Master!B:B)</f>
        <v>880000</v>
      </c>
      <c r="O303" s="4">
        <f t="shared" si="19"/>
        <v>2.8897727272727273E-2</v>
      </c>
    </row>
    <row r="304" spans="1:15" ht="15.75" x14ac:dyDescent="0.25">
      <c r="A304" s="3" t="s">
        <v>538</v>
      </c>
      <c r="B304" s="2" t="s">
        <v>343</v>
      </c>
      <c r="C304" s="2" t="s">
        <v>9</v>
      </c>
      <c r="D304" s="2" t="s">
        <v>14</v>
      </c>
      <c r="E304" s="2" t="s">
        <v>28</v>
      </c>
      <c r="F304" s="2">
        <v>6</v>
      </c>
      <c r="G304" s="2">
        <v>6965</v>
      </c>
      <c r="H304" s="2" t="str">
        <f>_xlfn.XLOOKUP(E304, Product_Master!A:A, Product_Master!B:B)</f>
        <v>Laptop</v>
      </c>
      <c r="I304" s="2" t="str">
        <f>_xlfn.XLOOKUP(E304, Product_Master!A:A, Product_Master!C:C)</f>
        <v>Electronics</v>
      </c>
      <c r="J304" s="2">
        <f>_xlfn.XLOOKUP(E304, Product_Master!A:A, Product_Master!D:D)</f>
        <v>35000</v>
      </c>
      <c r="K304" s="2">
        <f t="shared" si="16"/>
        <v>41790</v>
      </c>
      <c r="L304" s="2">
        <f t="shared" si="17"/>
        <v>210000</v>
      </c>
      <c r="M304" s="2">
        <f t="shared" si="18"/>
        <v>-168210</v>
      </c>
      <c r="N304" s="2">
        <f>_xlfn.XLOOKUP(D304, Sales_Rep_Master!A:A, Sales_Rep_Master!B:B)</f>
        <v>880000</v>
      </c>
      <c r="O304" s="4">
        <f t="shared" si="19"/>
        <v>4.7488636363636365E-2</v>
      </c>
    </row>
    <row r="305" spans="1:15" ht="15.75" x14ac:dyDescent="0.25">
      <c r="A305" s="3" t="s">
        <v>539</v>
      </c>
      <c r="B305" s="2" t="s">
        <v>540</v>
      </c>
      <c r="C305" s="2" t="s">
        <v>26</v>
      </c>
      <c r="D305" s="2" t="s">
        <v>152</v>
      </c>
      <c r="E305" s="2" t="s">
        <v>20</v>
      </c>
      <c r="F305" s="2">
        <v>1</v>
      </c>
      <c r="G305" s="2">
        <v>7566</v>
      </c>
      <c r="H305" s="2" t="str">
        <f>_xlfn.XLOOKUP(E305, Product_Master!A:A, Product_Master!B:B)</f>
        <v>Headphones</v>
      </c>
      <c r="I305" s="2" t="str">
        <f>_xlfn.XLOOKUP(E305, Product_Master!A:A, Product_Master!C:C)</f>
        <v>Electronics</v>
      </c>
      <c r="J305" s="2">
        <f>_xlfn.XLOOKUP(E305, Product_Master!A:A, Product_Master!D:D)</f>
        <v>2000</v>
      </c>
      <c r="K305" s="2">
        <f t="shared" si="16"/>
        <v>7566</v>
      </c>
      <c r="L305" s="2">
        <f t="shared" si="17"/>
        <v>2000</v>
      </c>
      <c r="M305" s="2">
        <f t="shared" si="18"/>
        <v>5566</v>
      </c>
      <c r="N305" s="2">
        <f>_xlfn.XLOOKUP(D305, Sales_Rep_Master!A:A, Sales_Rep_Master!B:B)</f>
        <v>870000</v>
      </c>
      <c r="O305" s="4">
        <f t="shared" si="19"/>
        <v>8.6965517241379305E-3</v>
      </c>
    </row>
    <row r="306" spans="1:15" ht="15.75" hidden="1" x14ac:dyDescent="0.25">
      <c r="A306" s="3" t="s">
        <v>541</v>
      </c>
      <c r="B306" s="2" t="s">
        <v>325</v>
      </c>
      <c r="C306" s="2" t="s">
        <v>26</v>
      </c>
      <c r="D306" s="2" t="s">
        <v>54</v>
      </c>
      <c r="E306" s="2" t="s">
        <v>40</v>
      </c>
      <c r="F306" s="2">
        <v>15</v>
      </c>
      <c r="G306" s="2">
        <v>3070</v>
      </c>
      <c r="H306" s="2" t="str">
        <f>_xlfn.XLOOKUP(E306, Product_Master!A:A, Product_Master!B:B)</f>
        <v>Table</v>
      </c>
      <c r="I306" s="2" t="str">
        <f>_xlfn.XLOOKUP(E306, Product_Master!A:A, Product_Master!C:C)</f>
        <v>Furniture</v>
      </c>
      <c r="J306" s="2">
        <f>_xlfn.XLOOKUP(E306, Product_Master!A:A, Product_Master!D:D)</f>
        <v>7000</v>
      </c>
      <c r="K306" s="2">
        <f t="shared" si="16"/>
        <v>46050</v>
      </c>
      <c r="L306" s="2">
        <f t="shared" si="17"/>
        <v>105000</v>
      </c>
      <c r="M306" s="2">
        <f t="shared" si="18"/>
        <v>-58950</v>
      </c>
      <c r="N306" s="2">
        <f>_xlfn.XLOOKUP(D306, Sales_Rep_Master!A:A, Sales_Rep_Master!B:B)</f>
        <v>890000</v>
      </c>
      <c r="O306" s="4">
        <f t="shared" si="19"/>
        <v>5.1741573033707862E-2</v>
      </c>
    </row>
    <row r="307" spans="1:15" ht="15.75" hidden="1" x14ac:dyDescent="0.25">
      <c r="A307" s="3" t="s">
        <v>542</v>
      </c>
      <c r="B307" s="2" t="s">
        <v>435</v>
      </c>
      <c r="C307" s="2" t="s">
        <v>9</v>
      </c>
      <c r="D307" s="2" t="s">
        <v>54</v>
      </c>
      <c r="E307" s="2" t="s">
        <v>61</v>
      </c>
      <c r="F307" s="2">
        <v>2</v>
      </c>
      <c r="G307" s="2">
        <v>1838</v>
      </c>
      <c r="H307" s="2" t="str">
        <f>_xlfn.XLOOKUP(E307, Product_Master!A:A, Product_Master!B:B)</f>
        <v>Shoes</v>
      </c>
      <c r="I307" s="2" t="str">
        <f>_xlfn.XLOOKUP(E307, Product_Master!A:A, Product_Master!C:C)</f>
        <v>Clothing</v>
      </c>
      <c r="J307" s="2">
        <f>_xlfn.XLOOKUP(E307, Product_Master!A:A, Product_Master!D:D)</f>
        <v>2000</v>
      </c>
      <c r="K307" s="2">
        <f t="shared" si="16"/>
        <v>3676</v>
      </c>
      <c r="L307" s="2">
        <f t="shared" si="17"/>
        <v>4000</v>
      </c>
      <c r="M307" s="2">
        <f t="shared" si="18"/>
        <v>-324</v>
      </c>
      <c r="N307" s="2">
        <f>_xlfn.XLOOKUP(D307, Sales_Rep_Master!A:A, Sales_Rep_Master!B:B)</f>
        <v>890000</v>
      </c>
      <c r="O307" s="4">
        <f t="shared" si="19"/>
        <v>4.1303370786516854E-3</v>
      </c>
    </row>
    <row r="308" spans="1:15" ht="15.75" hidden="1" x14ac:dyDescent="0.25">
      <c r="A308" s="3" t="s">
        <v>543</v>
      </c>
      <c r="B308" s="2" t="s">
        <v>544</v>
      </c>
      <c r="C308" s="2" t="s">
        <v>9</v>
      </c>
      <c r="D308" s="2" t="s">
        <v>51</v>
      </c>
      <c r="E308" s="2" t="s">
        <v>61</v>
      </c>
      <c r="F308" s="2">
        <v>2</v>
      </c>
      <c r="G308" s="2">
        <v>4678</v>
      </c>
      <c r="H308" s="2" t="str">
        <f>_xlfn.XLOOKUP(E308, Product_Master!A:A, Product_Master!B:B)</f>
        <v>Shoes</v>
      </c>
      <c r="I308" s="2" t="str">
        <f>_xlfn.XLOOKUP(E308, Product_Master!A:A, Product_Master!C:C)</f>
        <v>Clothing</v>
      </c>
      <c r="J308" s="2">
        <f>_xlfn.XLOOKUP(E308, Product_Master!A:A, Product_Master!D:D)</f>
        <v>2000</v>
      </c>
      <c r="K308" s="2">
        <f t="shared" si="16"/>
        <v>9356</v>
      </c>
      <c r="L308" s="2">
        <f t="shared" si="17"/>
        <v>4000</v>
      </c>
      <c r="M308" s="2">
        <f t="shared" si="18"/>
        <v>5356</v>
      </c>
      <c r="N308" s="2">
        <f>_xlfn.XLOOKUP(D308, Sales_Rep_Master!A:A, Sales_Rep_Master!B:B)</f>
        <v>900000</v>
      </c>
      <c r="O308" s="4">
        <f t="shared" si="19"/>
        <v>1.0395555555555555E-2</v>
      </c>
    </row>
    <row r="309" spans="1:15" ht="15.75" hidden="1" x14ac:dyDescent="0.25">
      <c r="A309" s="3" t="s">
        <v>545</v>
      </c>
      <c r="B309" s="2" t="s">
        <v>60</v>
      </c>
      <c r="C309" s="2" t="s">
        <v>33</v>
      </c>
      <c r="D309" s="2" t="s">
        <v>51</v>
      </c>
      <c r="E309" s="2" t="s">
        <v>61</v>
      </c>
      <c r="F309" s="2">
        <v>12</v>
      </c>
      <c r="G309" s="2">
        <v>6161</v>
      </c>
      <c r="H309" s="2" t="str">
        <f>_xlfn.XLOOKUP(E309, Product_Master!A:A, Product_Master!B:B)</f>
        <v>Shoes</v>
      </c>
      <c r="I309" s="2" t="str">
        <f>_xlfn.XLOOKUP(E309, Product_Master!A:A, Product_Master!C:C)</f>
        <v>Clothing</v>
      </c>
      <c r="J309" s="2">
        <f>_xlfn.XLOOKUP(E309, Product_Master!A:A, Product_Master!D:D)</f>
        <v>2000</v>
      </c>
      <c r="K309" s="2">
        <f t="shared" si="16"/>
        <v>73932</v>
      </c>
      <c r="L309" s="2">
        <f t="shared" si="17"/>
        <v>24000</v>
      </c>
      <c r="M309" s="2">
        <f t="shared" si="18"/>
        <v>49932</v>
      </c>
      <c r="N309" s="2">
        <f>_xlfn.XLOOKUP(D309, Sales_Rep_Master!A:A, Sales_Rep_Master!B:B)</f>
        <v>900000</v>
      </c>
      <c r="O309" s="4">
        <f t="shared" si="19"/>
        <v>8.2146666666666673E-2</v>
      </c>
    </row>
    <row r="310" spans="1:15" ht="15.75" hidden="1" x14ac:dyDescent="0.25">
      <c r="A310" s="3" t="s">
        <v>546</v>
      </c>
      <c r="B310" s="2" t="s">
        <v>547</v>
      </c>
      <c r="C310" s="2" t="s">
        <v>18</v>
      </c>
      <c r="D310" s="2" t="s">
        <v>54</v>
      </c>
      <c r="E310" s="2" t="s">
        <v>34</v>
      </c>
      <c r="F310" s="2">
        <v>14</v>
      </c>
      <c r="G310" s="2">
        <v>1996</v>
      </c>
      <c r="H310" s="2" t="str">
        <f>_xlfn.XLOOKUP(E310, Product_Master!A:A, Product_Master!B:B)</f>
        <v>Jacket</v>
      </c>
      <c r="I310" s="2" t="str">
        <f>_xlfn.XLOOKUP(E310, Product_Master!A:A, Product_Master!C:C)</f>
        <v>Clothing</v>
      </c>
      <c r="J310" s="2">
        <f>_xlfn.XLOOKUP(E310, Product_Master!A:A, Product_Master!D:D)</f>
        <v>1500</v>
      </c>
      <c r="K310" s="2">
        <f t="shared" si="16"/>
        <v>27944</v>
      </c>
      <c r="L310" s="2">
        <f t="shared" si="17"/>
        <v>21000</v>
      </c>
      <c r="M310" s="2">
        <f t="shared" si="18"/>
        <v>6944</v>
      </c>
      <c r="N310" s="2">
        <f>_xlfn.XLOOKUP(D310, Sales_Rep_Master!A:A, Sales_Rep_Master!B:B)</f>
        <v>890000</v>
      </c>
      <c r="O310" s="4">
        <f t="shared" si="19"/>
        <v>3.1397752808988766E-2</v>
      </c>
    </row>
    <row r="311" spans="1:15" ht="15.75" hidden="1" x14ac:dyDescent="0.25">
      <c r="A311" s="3" t="s">
        <v>548</v>
      </c>
      <c r="B311" s="2" t="s">
        <v>87</v>
      </c>
      <c r="C311" s="2" t="s">
        <v>9</v>
      </c>
      <c r="D311" s="2" t="s">
        <v>10</v>
      </c>
      <c r="E311" s="2" t="s">
        <v>61</v>
      </c>
      <c r="F311" s="2">
        <v>14</v>
      </c>
      <c r="G311" s="2">
        <v>3561</v>
      </c>
      <c r="H311" s="2" t="str">
        <f>_xlfn.XLOOKUP(E311, Product_Master!A:A, Product_Master!B:B)</f>
        <v>Shoes</v>
      </c>
      <c r="I311" s="2" t="str">
        <f>_xlfn.XLOOKUP(E311, Product_Master!A:A, Product_Master!C:C)</f>
        <v>Clothing</v>
      </c>
      <c r="J311" s="2">
        <f>_xlfn.XLOOKUP(E311, Product_Master!A:A, Product_Master!D:D)</f>
        <v>2000</v>
      </c>
      <c r="K311" s="2">
        <f t="shared" si="16"/>
        <v>49854</v>
      </c>
      <c r="L311" s="2">
        <f t="shared" si="17"/>
        <v>28000</v>
      </c>
      <c r="M311" s="2">
        <f t="shared" si="18"/>
        <v>21854</v>
      </c>
      <c r="N311" s="2">
        <f>_xlfn.XLOOKUP(D311, Sales_Rep_Master!A:A, Sales_Rep_Master!B:B)</f>
        <v>920000</v>
      </c>
      <c r="O311" s="4">
        <f t="shared" si="19"/>
        <v>5.4189130434782608E-2</v>
      </c>
    </row>
    <row r="312" spans="1:15" ht="15.75" x14ac:dyDescent="0.25">
      <c r="A312" s="3" t="s">
        <v>549</v>
      </c>
      <c r="B312" s="2" t="s">
        <v>259</v>
      </c>
      <c r="C312" s="2" t="s">
        <v>18</v>
      </c>
      <c r="D312" s="2" t="s">
        <v>27</v>
      </c>
      <c r="E312" s="2" t="s">
        <v>20</v>
      </c>
      <c r="F312" s="2">
        <v>10</v>
      </c>
      <c r="G312" s="2">
        <v>3735</v>
      </c>
      <c r="H312" s="2" t="str">
        <f>_xlfn.XLOOKUP(E312, Product_Master!A:A, Product_Master!B:B)</f>
        <v>Headphones</v>
      </c>
      <c r="I312" s="2" t="str">
        <f>_xlfn.XLOOKUP(E312, Product_Master!A:A, Product_Master!C:C)</f>
        <v>Electronics</v>
      </c>
      <c r="J312" s="2">
        <f>_xlfn.XLOOKUP(E312, Product_Master!A:A, Product_Master!D:D)</f>
        <v>2000</v>
      </c>
      <c r="K312" s="2">
        <f t="shared" si="16"/>
        <v>37350</v>
      </c>
      <c r="L312" s="2">
        <f t="shared" si="17"/>
        <v>20000</v>
      </c>
      <c r="M312" s="2">
        <f t="shared" si="18"/>
        <v>17350</v>
      </c>
      <c r="N312" s="2">
        <f>_xlfn.XLOOKUP(D312, Sales_Rep_Master!A:A, Sales_Rep_Master!B:B)</f>
        <v>800000</v>
      </c>
      <c r="O312" s="4">
        <f t="shared" si="19"/>
        <v>4.66875E-2</v>
      </c>
    </row>
    <row r="313" spans="1:15" ht="15.75" x14ac:dyDescent="0.25">
      <c r="A313" s="3" t="s">
        <v>550</v>
      </c>
      <c r="B313" s="2" t="s">
        <v>320</v>
      </c>
      <c r="C313" s="2" t="s">
        <v>9</v>
      </c>
      <c r="D313" s="2" t="s">
        <v>37</v>
      </c>
      <c r="E313" s="2" t="s">
        <v>20</v>
      </c>
      <c r="F313" s="2">
        <v>2</v>
      </c>
      <c r="G313" s="2">
        <v>4288</v>
      </c>
      <c r="H313" s="2" t="str">
        <f>_xlfn.XLOOKUP(E313, Product_Master!A:A, Product_Master!B:B)</f>
        <v>Headphones</v>
      </c>
      <c r="I313" s="2" t="str">
        <f>_xlfn.XLOOKUP(E313, Product_Master!A:A, Product_Master!C:C)</f>
        <v>Electronics</v>
      </c>
      <c r="J313" s="2">
        <f>_xlfn.XLOOKUP(E313, Product_Master!A:A, Product_Master!D:D)</f>
        <v>2000</v>
      </c>
      <c r="K313" s="2">
        <f t="shared" si="16"/>
        <v>8576</v>
      </c>
      <c r="L313" s="2">
        <f t="shared" si="17"/>
        <v>4000</v>
      </c>
      <c r="M313" s="2">
        <f t="shared" si="18"/>
        <v>4576</v>
      </c>
      <c r="N313" s="2">
        <f>_xlfn.XLOOKUP(D313, Sales_Rep_Master!A:A, Sales_Rep_Master!B:B)</f>
        <v>850000</v>
      </c>
      <c r="O313" s="4">
        <f t="shared" si="19"/>
        <v>1.0089411764705883E-2</v>
      </c>
    </row>
    <row r="314" spans="1:15" ht="15.75" hidden="1" x14ac:dyDescent="0.25">
      <c r="A314" s="3" t="s">
        <v>551</v>
      </c>
      <c r="B314" s="2" t="s">
        <v>159</v>
      </c>
      <c r="C314" s="2" t="s">
        <v>18</v>
      </c>
      <c r="D314" s="2" t="s">
        <v>19</v>
      </c>
      <c r="E314" s="2" t="s">
        <v>61</v>
      </c>
      <c r="F314" s="2">
        <v>7</v>
      </c>
      <c r="G314" s="2">
        <v>5424</v>
      </c>
      <c r="H314" s="2" t="str">
        <f>_xlfn.XLOOKUP(E314, Product_Master!A:A, Product_Master!B:B)</f>
        <v>Shoes</v>
      </c>
      <c r="I314" s="2" t="str">
        <f>_xlfn.XLOOKUP(E314, Product_Master!A:A, Product_Master!C:C)</f>
        <v>Clothing</v>
      </c>
      <c r="J314" s="2">
        <f>_xlfn.XLOOKUP(E314, Product_Master!A:A, Product_Master!D:D)</f>
        <v>2000</v>
      </c>
      <c r="K314" s="2">
        <f t="shared" si="16"/>
        <v>37968</v>
      </c>
      <c r="L314" s="2">
        <f t="shared" si="17"/>
        <v>14000</v>
      </c>
      <c r="M314" s="2">
        <f t="shared" si="18"/>
        <v>23968</v>
      </c>
      <c r="N314" s="2">
        <f>_xlfn.XLOOKUP(D314, Sales_Rep_Master!A:A, Sales_Rep_Master!B:B)</f>
        <v>950000</v>
      </c>
      <c r="O314" s="4">
        <f t="shared" si="19"/>
        <v>3.9966315789473683E-2</v>
      </c>
    </row>
    <row r="315" spans="1:15" ht="15.75" hidden="1" x14ac:dyDescent="0.25">
      <c r="A315" s="3" t="s">
        <v>552</v>
      </c>
      <c r="B315" s="2" t="s">
        <v>243</v>
      </c>
      <c r="C315" s="2" t="s">
        <v>18</v>
      </c>
      <c r="D315" s="2" t="s">
        <v>51</v>
      </c>
      <c r="E315" s="2" t="s">
        <v>40</v>
      </c>
      <c r="F315" s="2">
        <v>5</v>
      </c>
      <c r="G315" s="2">
        <v>3046</v>
      </c>
      <c r="H315" s="2" t="str">
        <f>_xlfn.XLOOKUP(E315, Product_Master!A:A, Product_Master!B:B)</f>
        <v>Table</v>
      </c>
      <c r="I315" s="2" t="str">
        <f>_xlfn.XLOOKUP(E315, Product_Master!A:A, Product_Master!C:C)</f>
        <v>Furniture</v>
      </c>
      <c r="J315" s="2">
        <f>_xlfn.XLOOKUP(E315, Product_Master!A:A, Product_Master!D:D)</f>
        <v>7000</v>
      </c>
      <c r="K315" s="2">
        <f t="shared" si="16"/>
        <v>15230</v>
      </c>
      <c r="L315" s="2">
        <f t="shared" si="17"/>
        <v>35000</v>
      </c>
      <c r="M315" s="2">
        <f t="shared" si="18"/>
        <v>-19770</v>
      </c>
      <c r="N315" s="2">
        <f>_xlfn.XLOOKUP(D315, Sales_Rep_Master!A:A, Sales_Rep_Master!B:B)</f>
        <v>900000</v>
      </c>
      <c r="O315" s="4">
        <f t="shared" si="19"/>
        <v>1.6922222222222224E-2</v>
      </c>
    </row>
    <row r="316" spans="1:15" ht="15.75" x14ac:dyDescent="0.25">
      <c r="A316" s="3" t="s">
        <v>553</v>
      </c>
      <c r="B316" s="2" t="s">
        <v>36</v>
      </c>
      <c r="C316" s="2" t="s">
        <v>26</v>
      </c>
      <c r="D316" s="2" t="s">
        <v>37</v>
      </c>
      <c r="E316" s="2" t="s">
        <v>11</v>
      </c>
      <c r="F316" s="2">
        <v>6</v>
      </c>
      <c r="G316" s="2">
        <v>1722</v>
      </c>
      <c r="H316" s="2" t="str">
        <f>_xlfn.XLOOKUP(E316, Product_Master!A:A, Product_Master!B:B)</f>
        <v>Mobile</v>
      </c>
      <c r="I316" s="2" t="str">
        <f>_xlfn.XLOOKUP(E316, Product_Master!A:A, Product_Master!C:C)</f>
        <v>Electronics</v>
      </c>
      <c r="J316" s="2">
        <f>_xlfn.XLOOKUP(E316, Product_Master!A:A, Product_Master!D:D)</f>
        <v>18000</v>
      </c>
      <c r="K316" s="2">
        <f t="shared" si="16"/>
        <v>10332</v>
      </c>
      <c r="L316" s="2">
        <f t="shared" si="17"/>
        <v>108000</v>
      </c>
      <c r="M316" s="2">
        <f t="shared" si="18"/>
        <v>-97668</v>
      </c>
      <c r="N316" s="2">
        <f>_xlfn.XLOOKUP(D316, Sales_Rep_Master!A:A, Sales_Rep_Master!B:B)</f>
        <v>850000</v>
      </c>
      <c r="O316" s="4">
        <f t="shared" si="19"/>
        <v>1.2155294117647059E-2</v>
      </c>
    </row>
    <row r="317" spans="1:15" ht="15.75" hidden="1" x14ac:dyDescent="0.25">
      <c r="A317" s="3" t="s">
        <v>554</v>
      </c>
      <c r="B317" s="2" t="s">
        <v>462</v>
      </c>
      <c r="C317" s="2" t="s">
        <v>33</v>
      </c>
      <c r="D317" s="2" t="s">
        <v>54</v>
      </c>
      <c r="E317" s="2" t="s">
        <v>34</v>
      </c>
      <c r="F317" s="2">
        <v>7</v>
      </c>
      <c r="G317" s="2">
        <v>1917</v>
      </c>
      <c r="H317" s="2" t="str">
        <f>_xlfn.XLOOKUP(E317, Product_Master!A:A, Product_Master!B:B)</f>
        <v>Jacket</v>
      </c>
      <c r="I317" s="2" t="str">
        <f>_xlfn.XLOOKUP(E317, Product_Master!A:A, Product_Master!C:C)</f>
        <v>Clothing</v>
      </c>
      <c r="J317" s="2">
        <f>_xlfn.XLOOKUP(E317, Product_Master!A:A, Product_Master!D:D)</f>
        <v>1500</v>
      </c>
      <c r="K317" s="2">
        <f t="shared" si="16"/>
        <v>13419</v>
      </c>
      <c r="L317" s="2">
        <f t="shared" si="17"/>
        <v>10500</v>
      </c>
      <c r="M317" s="2">
        <f t="shared" si="18"/>
        <v>2919</v>
      </c>
      <c r="N317" s="2">
        <f>_xlfn.XLOOKUP(D317, Sales_Rep_Master!A:A, Sales_Rep_Master!B:B)</f>
        <v>890000</v>
      </c>
      <c r="O317" s="4">
        <f t="shared" si="19"/>
        <v>1.507752808988764E-2</v>
      </c>
    </row>
    <row r="318" spans="1:15" ht="15.75" hidden="1" x14ac:dyDescent="0.25">
      <c r="A318" s="3" t="s">
        <v>555</v>
      </c>
      <c r="B318" s="2" t="s">
        <v>384</v>
      </c>
      <c r="C318" s="2" t="s">
        <v>18</v>
      </c>
      <c r="D318" s="2" t="s">
        <v>51</v>
      </c>
      <c r="E318" s="2" t="s">
        <v>23</v>
      </c>
      <c r="F318" s="2">
        <v>6</v>
      </c>
      <c r="G318" s="2">
        <v>4912</v>
      </c>
      <c r="H318" s="2" t="str">
        <f>_xlfn.XLOOKUP(E318, Product_Master!A:A, Product_Master!B:B)</f>
        <v>Sofa</v>
      </c>
      <c r="I318" s="2" t="str">
        <f>_xlfn.XLOOKUP(E318, Product_Master!A:A, Product_Master!C:C)</f>
        <v>Furniture</v>
      </c>
      <c r="J318" s="2">
        <f>_xlfn.XLOOKUP(E318, Product_Master!A:A, Product_Master!D:D)</f>
        <v>15000</v>
      </c>
      <c r="K318" s="2">
        <f t="shared" si="16"/>
        <v>29472</v>
      </c>
      <c r="L318" s="2">
        <f t="shared" si="17"/>
        <v>90000</v>
      </c>
      <c r="M318" s="2">
        <f t="shared" si="18"/>
        <v>-60528</v>
      </c>
      <c r="N318" s="2">
        <f>_xlfn.XLOOKUP(D318, Sales_Rep_Master!A:A, Sales_Rep_Master!B:B)</f>
        <v>900000</v>
      </c>
      <c r="O318" s="4">
        <f t="shared" si="19"/>
        <v>3.2746666666666667E-2</v>
      </c>
    </row>
    <row r="319" spans="1:15" ht="15.75" hidden="1" x14ac:dyDescent="0.25">
      <c r="A319" s="3" t="s">
        <v>556</v>
      </c>
      <c r="B319" s="2" t="s">
        <v>557</v>
      </c>
      <c r="C319" s="2" t="s">
        <v>9</v>
      </c>
      <c r="D319" s="2" t="s">
        <v>19</v>
      </c>
      <c r="E319" s="2" t="s">
        <v>40</v>
      </c>
      <c r="F319" s="2">
        <v>10</v>
      </c>
      <c r="G319" s="2">
        <v>7554</v>
      </c>
      <c r="H319" s="2" t="str">
        <f>_xlfn.XLOOKUP(E319, Product_Master!A:A, Product_Master!B:B)</f>
        <v>Table</v>
      </c>
      <c r="I319" s="2" t="str">
        <f>_xlfn.XLOOKUP(E319, Product_Master!A:A, Product_Master!C:C)</f>
        <v>Furniture</v>
      </c>
      <c r="J319" s="2">
        <f>_xlfn.XLOOKUP(E319, Product_Master!A:A, Product_Master!D:D)</f>
        <v>7000</v>
      </c>
      <c r="K319" s="2">
        <f t="shared" si="16"/>
        <v>75540</v>
      </c>
      <c r="L319" s="2">
        <f t="shared" si="17"/>
        <v>70000</v>
      </c>
      <c r="M319" s="2">
        <f t="shared" si="18"/>
        <v>5540</v>
      </c>
      <c r="N319" s="2">
        <f>_xlfn.XLOOKUP(D319, Sales_Rep_Master!A:A, Sales_Rep_Master!B:B)</f>
        <v>950000</v>
      </c>
      <c r="O319" s="4">
        <f t="shared" si="19"/>
        <v>7.9515789473684206E-2</v>
      </c>
    </row>
    <row r="320" spans="1:15" ht="15.75" x14ac:dyDescent="0.25">
      <c r="A320" s="3" t="s">
        <v>558</v>
      </c>
      <c r="B320" s="2" t="s">
        <v>559</v>
      </c>
      <c r="C320" s="2" t="s">
        <v>26</v>
      </c>
      <c r="D320" s="2" t="s">
        <v>51</v>
      </c>
      <c r="E320" s="2" t="s">
        <v>11</v>
      </c>
      <c r="F320" s="2">
        <v>1</v>
      </c>
      <c r="G320" s="2">
        <v>1783</v>
      </c>
      <c r="H320" s="2" t="str">
        <f>_xlfn.XLOOKUP(E320, Product_Master!A:A, Product_Master!B:B)</f>
        <v>Mobile</v>
      </c>
      <c r="I320" s="2" t="str">
        <f>_xlfn.XLOOKUP(E320, Product_Master!A:A, Product_Master!C:C)</f>
        <v>Electronics</v>
      </c>
      <c r="J320" s="2">
        <f>_xlfn.XLOOKUP(E320, Product_Master!A:A, Product_Master!D:D)</f>
        <v>18000</v>
      </c>
      <c r="K320" s="2">
        <f t="shared" si="16"/>
        <v>1783</v>
      </c>
      <c r="L320" s="2">
        <f t="shared" si="17"/>
        <v>18000</v>
      </c>
      <c r="M320" s="2">
        <f t="shared" si="18"/>
        <v>-16217</v>
      </c>
      <c r="N320" s="2">
        <f>_xlfn.XLOOKUP(D320, Sales_Rep_Master!A:A, Sales_Rep_Master!B:B)</f>
        <v>900000</v>
      </c>
      <c r="O320" s="4">
        <f t="shared" si="19"/>
        <v>1.981111111111111E-3</v>
      </c>
    </row>
    <row r="321" spans="1:15" ht="15.75" x14ac:dyDescent="0.25">
      <c r="A321" s="3" t="s">
        <v>560</v>
      </c>
      <c r="B321" s="2" t="s">
        <v>561</v>
      </c>
      <c r="C321" s="2" t="s">
        <v>18</v>
      </c>
      <c r="D321" s="2" t="s">
        <v>152</v>
      </c>
      <c r="E321" s="2" t="s">
        <v>20</v>
      </c>
      <c r="F321" s="2">
        <v>3</v>
      </c>
      <c r="G321" s="2">
        <v>7017</v>
      </c>
      <c r="H321" s="2" t="str">
        <f>_xlfn.XLOOKUP(E321, Product_Master!A:A, Product_Master!B:B)</f>
        <v>Headphones</v>
      </c>
      <c r="I321" s="2" t="str">
        <f>_xlfn.XLOOKUP(E321, Product_Master!A:A, Product_Master!C:C)</f>
        <v>Electronics</v>
      </c>
      <c r="J321" s="2">
        <f>_xlfn.XLOOKUP(E321, Product_Master!A:A, Product_Master!D:D)</f>
        <v>2000</v>
      </c>
      <c r="K321" s="2">
        <f t="shared" si="16"/>
        <v>21051</v>
      </c>
      <c r="L321" s="2">
        <f t="shared" si="17"/>
        <v>6000</v>
      </c>
      <c r="M321" s="2">
        <f t="shared" si="18"/>
        <v>15051</v>
      </c>
      <c r="N321" s="2">
        <f>_xlfn.XLOOKUP(D321, Sales_Rep_Master!A:A, Sales_Rep_Master!B:B)</f>
        <v>870000</v>
      </c>
      <c r="O321" s="4">
        <f t="shared" si="19"/>
        <v>2.419655172413793E-2</v>
      </c>
    </row>
    <row r="322" spans="1:15" ht="15.75" x14ac:dyDescent="0.25">
      <c r="A322" s="3" t="s">
        <v>562</v>
      </c>
      <c r="B322" s="2" t="s">
        <v>102</v>
      </c>
      <c r="C322" s="2" t="s">
        <v>18</v>
      </c>
      <c r="D322" s="2" t="s">
        <v>27</v>
      </c>
      <c r="E322" s="2" t="s">
        <v>28</v>
      </c>
      <c r="F322" s="2">
        <v>7</v>
      </c>
      <c r="G322" s="2">
        <v>1473</v>
      </c>
      <c r="H322" s="2" t="str">
        <f>_xlfn.XLOOKUP(E322, Product_Master!A:A, Product_Master!B:B)</f>
        <v>Laptop</v>
      </c>
      <c r="I322" s="2" t="str">
        <f>_xlfn.XLOOKUP(E322, Product_Master!A:A, Product_Master!C:C)</f>
        <v>Electronics</v>
      </c>
      <c r="J322" s="2">
        <f>_xlfn.XLOOKUP(E322, Product_Master!A:A, Product_Master!D:D)</f>
        <v>35000</v>
      </c>
      <c r="K322" s="2">
        <f t="shared" ref="K322:K385" si="20">F322*G322</f>
        <v>10311</v>
      </c>
      <c r="L322" s="2">
        <f t="shared" ref="L322:L385" si="21">F322*J322</f>
        <v>245000</v>
      </c>
      <c r="M322" s="2">
        <f t="shared" ref="M322:M385" si="22">K322-L322</f>
        <v>-234689</v>
      </c>
      <c r="N322" s="2">
        <f>_xlfn.XLOOKUP(D322, Sales_Rep_Master!A:A, Sales_Rep_Master!B:B)</f>
        <v>800000</v>
      </c>
      <c r="O322" s="4">
        <f t="shared" ref="O322:O385" si="23">K322/N322</f>
        <v>1.2888749999999999E-2</v>
      </c>
    </row>
    <row r="323" spans="1:15" ht="15.75" hidden="1" x14ac:dyDescent="0.25">
      <c r="A323" s="3" t="s">
        <v>563</v>
      </c>
      <c r="B323" s="2" t="s">
        <v>22</v>
      </c>
      <c r="C323" s="2" t="s">
        <v>26</v>
      </c>
      <c r="D323" s="2" t="s">
        <v>10</v>
      </c>
      <c r="E323" s="2" t="s">
        <v>61</v>
      </c>
      <c r="F323" s="2">
        <v>6</v>
      </c>
      <c r="G323" s="2">
        <v>6424</v>
      </c>
      <c r="H323" s="2" t="str">
        <f>_xlfn.XLOOKUP(E323, Product_Master!A:A, Product_Master!B:B)</f>
        <v>Shoes</v>
      </c>
      <c r="I323" s="2" t="str">
        <f>_xlfn.XLOOKUP(E323, Product_Master!A:A, Product_Master!C:C)</f>
        <v>Clothing</v>
      </c>
      <c r="J323" s="2">
        <f>_xlfn.XLOOKUP(E323, Product_Master!A:A, Product_Master!D:D)</f>
        <v>2000</v>
      </c>
      <c r="K323" s="2">
        <f t="shared" si="20"/>
        <v>38544</v>
      </c>
      <c r="L323" s="2">
        <f t="shared" si="21"/>
        <v>12000</v>
      </c>
      <c r="M323" s="2">
        <f t="shared" si="22"/>
        <v>26544</v>
      </c>
      <c r="N323" s="2">
        <f>_xlfn.XLOOKUP(D323, Sales_Rep_Master!A:A, Sales_Rep_Master!B:B)</f>
        <v>920000</v>
      </c>
      <c r="O323" s="4">
        <f t="shared" si="23"/>
        <v>4.1895652173913042E-2</v>
      </c>
    </row>
    <row r="324" spans="1:15" ht="15.75" hidden="1" x14ac:dyDescent="0.25">
      <c r="A324" s="3" t="s">
        <v>564</v>
      </c>
      <c r="B324" s="2" t="s">
        <v>443</v>
      </c>
      <c r="C324" s="2" t="s">
        <v>33</v>
      </c>
      <c r="D324" s="2" t="s">
        <v>51</v>
      </c>
      <c r="E324" s="2" t="s">
        <v>61</v>
      </c>
      <c r="F324" s="2">
        <v>12</v>
      </c>
      <c r="G324" s="2">
        <v>6552</v>
      </c>
      <c r="H324" s="2" t="str">
        <f>_xlfn.XLOOKUP(E324, Product_Master!A:A, Product_Master!B:B)</f>
        <v>Shoes</v>
      </c>
      <c r="I324" s="2" t="str">
        <f>_xlfn.XLOOKUP(E324, Product_Master!A:A, Product_Master!C:C)</f>
        <v>Clothing</v>
      </c>
      <c r="J324" s="2">
        <f>_xlfn.XLOOKUP(E324, Product_Master!A:A, Product_Master!D:D)</f>
        <v>2000</v>
      </c>
      <c r="K324" s="2">
        <f t="shared" si="20"/>
        <v>78624</v>
      </c>
      <c r="L324" s="2">
        <f t="shared" si="21"/>
        <v>24000</v>
      </c>
      <c r="M324" s="2">
        <f t="shared" si="22"/>
        <v>54624</v>
      </c>
      <c r="N324" s="2">
        <f>_xlfn.XLOOKUP(D324, Sales_Rep_Master!A:A, Sales_Rep_Master!B:B)</f>
        <v>900000</v>
      </c>
      <c r="O324" s="4">
        <f t="shared" si="23"/>
        <v>8.7359999999999993E-2</v>
      </c>
    </row>
    <row r="325" spans="1:15" ht="15.75" hidden="1" x14ac:dyDescent="0.25">
      <c r="A325" s="3" t="s">
        <v>565</v>
      </c>
      <c r="B325" s="2" t="s">
        <v>566</v>
      </c>
      <c r="C325" s="2" t="s">
        <v>26</v>
      </c>
      <c r="D325" s="2" t="s">
        <v>27</v>
      </c>
      <c r="E325" s="2" t="s">
        <v>40</v>
      </c>
      <c r="F325" s="2">
        <v>3</v>
      </c>
      <c r="G325" s="2">
        <v>1932</v>
      </c>
      <c r="H325" s="2" t="str">
        <f>_xlfn.XLOOKUP(E325, Product_Master!A:A, Product_Master!B:B)</f>
        <v>Table</v>
      </c>
      <c r="I325" s="2" t="str">
        <f>_xlfn.XLOOKUP(E325, Product_Master!A:A, Product_Master!C:C)</f>
        <v>Furniture</v>
      </c>
      <c r="J325" s="2">
        <f>_xlfn.XLOOKUP(E325, Product_Master!A:A, Product_Master!D:D)</f>
        <v>7000</v>
      </c>
      <c r="K325" s="2">
        <f t="shared" si="20"/>
        <v>5796</v>
      </c>
      <c r="L325" s="2">
        <f t="shared" si="21"/>
        <v>21000</v>
      </c>
      <c r="M325" s="2">
        <f t="shared" si="22"/>
        <v>-15204</v>
      </c>
      <c r="N325" s="2">
        <f>_xlfn.XLOOKUP(D325, Sales_Rep_Master!A:A, Sales_Rep_Master!B:B)</f>
        <v>800000</v>
      </c>
      <c r="O325" s="4">
        <f t="shared" si="23"/>
        <v>7.2449999999999997E-3</v>
      </c>
    </row>
    <row r="326" spans="1:15" ht="15.75" hidden="1" x14ac:dyDescent="0.25">
      <c r="A326" s="3" t="s">
        <v>567</v>
      </c>
      <c r="B326" s="2" t="s">
        <v>184</v>
      </c>
      <c r="C326" s="2" t="s">
        <v>18</v>
      </c>
      <c r="D326" s="2" t="s">
        <v>152</v>
      </c>
      <c r="E326" s="2" t="s">
        <v>23</v>
      </c>
      <c r="F326" s="2">
        <v>3</v>
      </c>
      <c r="G326" s="2">
        <v>5660</v>
      </c>
      <c r="H326" s="2" t="str">
        <f>_xlfn.XLOOKUP(E326, Product_Master!A:A, Product_Master!B:B)</f>
        <v>Sofa</v>
      </c>
      <c r="I326" s="2" t="str">
        <f>_xlfn.XLOOKUP(E326, Product_Master!A:A, Product_Master!C:C)</f>
        <v>Furniture</v>
      </c>
      <c r="J326" s="2">
        <f>_xlfn.XLOOKUP(E326, Product_Master!A:A, Product_Master!D:D)</f>
        <v>15000</v>
      </c>
      <c r="K326" s="2">
        <f t="shared" si="20"/>
        <v>16980</v>
      </c>
      <c r="L326" s="2">
        <f t="shared" si="21"/>
        <v>45000</v>
      </c>
      <c r="M326" s="2">
        <f t="shared" si="22"/>
        <v>-28020</v>
      </c>
      <c r="N326" s="2">
        <f>_xlfn.XLOOKUP(D326, Sales_Rep_Master!A:A, Sales_Rep_Master!B:B)</f>
        <v>870000</v>
      </c>
      <c r="O326" s="4">
        <f t="shared" si="23"/>
        <v>1.9517241379310345E-2</v>
      </c>
    </row>
    <row r="327" spans="1:15" ht="15.75" hidden="1" x14ac:dyDescent="0.25">
      <c r="A327" s="3" t="s">
        <v>568</v>
      </c>
      <c r="B327" s="2" t="s">
        <v>569</v>
      </c>
      <c r="C327" s="2" t="s">
        <v>26</v>
      </c>
      <c r="D327" s="2" t="s">
        <v>19</v>
      </c>
      <c r="E327" s="2" t="s">
        <v>61</v>
      </c>
      <c r="F327" s="2">
        <v>10</v>
      </c>
      <c r="G327" s="2">
        <v>6151</v>
      </c>
      <c r="H327" s="2" t="str">
        <f>_xlfn.XLOOKUP(E327, Product_Master!A:A, Product_Master!B:B)</f>
        <v>Shoes</v>
      </c>
      <c r="I327" s="2" t="str">
        <f>_xlfn.XLOOKUP(E327, Product_Master!A:A, Product_Master!C:C)</f>
        <v>Clothing</v>
      </c>
      <c r="J327" s="2">
        <f>_xlfn.XLOOKUP(E327, Product_Master!A:A, Product_Master!D:D)</f>
        <v>2000</v>
      </c>
      <c r="K327" s="2">
        <f t="shared" si="20"/>
        <v>61510</v>
      </c>
      <c r="L327" s="2">
        <f t="shared" si="21"/>
        <v>20000</v>
      </c>
      <c r="M327" s="2">
        <f t="shared" si="22"/>
        <v>41510</v>
      </c>
      <c r="N327" s="2">
        <f>_xlfn.XLOOKUP(D327, Sales_Rep_Master!A:A, Sales_Rep_Master!B:B)</f>
        <v>950000</v>
      </c>
      <c r="O327" s="4">
        <f t="shared" si="23"/>
        <v>6.4747368421052637E-2</v>
      </c>
    </row>
    <row r="328" spans="1:15" ht="15.75" hidden="1" x14ac:dyDescent="0.25">
      <c r="A328" s="3" t="s">
        <v>570</v>
      </c>
      <c r="B328" s="2" t="s">
        <v>527</v>
      </c>
      <c r="C328" s="2" t="s">
        <v>18</v>
      </c>
      <c r="D328" s="2" t="s">
        <v>54</v>
      </c>
      <c r="E328" s="2" t="s">
        <v>15</v>
      </c>
      <c r="F328" s="2">
        <v>3</v>
      </c>
      <c r="G328" s="2">
        <v>2043</v>
      </c>
      <c r="H328" s="2" t="str">
        <f>_xlfn.XLOOKUP(E328, Product_Master!A:A, Product_Master!B:B)</f>
        <v>Chair</v>
      </c>
      <c r="I328" s="2" t="str">
        <f>_xlfn.XLOOKUP(E328, Product_Master!A:A, Product_Master!C:C)</f>
        <v>Furniture</v>
      </c>
      <c r="J328" s="2">
        <f>_xlfn.XLOOKUP(E328, Product_Master!A:A, Product_Master!D:D)</f>
        <v>2500</v>
      </c>
      <c r="K328" s="2">
        <f t="shared" si="20"/>
        <v>6129</v>
      </c>
      <c r="L328" s="2">
        <f t="shared" si="21"/>
        <v>7500</v>
      </c>
      <c r="M328" s="2">
        <f t="shared" si="22"/>
        <v>-1371</v>
      </c>
      <c r="N328" s="2">
        <f>_xlfn.XLOOKUP(D328, Sales_Rep_Master!A:A, Sales_Rep_Master!B:B)</f>
        <v>890000</v>
      </c>
      <c r="O328" s="4">
        <f t="shared" si="23"/>
        <v>6.886516853932584E-3</v>
      </c>
    </row>
    <row r="329" spans="1:15" ht="15.75" hidden="1" x14ac:dyDescent="0.25">
      <c r="A329" s="3" t="s">
        <v>571</v>
      </c>
      <c r="B329" s="2" t="s">
        <v>428</v>
      </c>
      <c r="C329" s="2" t="s">
        <v>18</v>
      </c>
      <c r="D329" s="2" t="s">
        <v>10</v>
      </c>
      <c r="E329" s="2" t="s">
        <v>34</v>
      </c>
      <c r="F329" s="2">
        <v>5</v>
      </c>
      <c r="G329" s="2">
        <v>6342</v>
      </c>
      <c r="H329" s="2" t="str">
        <f>_xlfn.XLOOKUP(E329, Product_Master!A:A, Product_Master!B:B)</f>
        <v>Jacket</v>
      </c>
      <c r="I329" s="2" t="str">
        <f>_xlfn.XLOOKUP(E329, Product_Master!A:A, Product_Master!C:C)</f>
        <v>Clothing</v>
      </c>
      <c r="J329" s="2">
        <f>_xlfn.XLOOKUP(E329, Product_Master!A:A, Product_Master!D:D)</f>
        <v>1500</v>
      </c>
      <c r="K329" s="2">
        <f t="shared" si="20"/>
        <v>31710</v>
      </c>
      <c r="L329" s="2">
        <f t="shared" si="21"/>
        <v>7500</v>
      </c>
      <c r="M329" s="2">
        <f t="shared" si="22"/>
        <v>24210</v>
      </c>
      <c r="N329" s="2">
        <f>_xlfn.XLOOKUP(D329, Sales_Rep_Master!A:A, Sales_Rep_Master!B:B)</f>
        <v>920000</v>
      </c>
      <c r="O329" s="4">
        <f t="shared" si="23"/>
        <v>3.4467391304347825E-2</v>
      </c>
    </row>
    <row r="330" spans="1:15" ht="15.75" hidden="1" x14ac:dyDescent="0.25">
      <c r="A330" s="3" t="s">
        <v>572</v>
      </c>
      <c r="B330" s="2" t="s">
        <v>573</v>
      </c>
      <c r="C330" s="2" t="s">
        <v>18</v>
      </c>
      <c r="D330" s="2" t="s">
        <v>152</v>
      </c>
      <c r="E330" s="2" t="s">
        <v>61</v>
      </c>
      <c r="F330" s="2">
        <v>4</v>
      </c>
      <c r="G330" s="2">
        <v>7704</v>
      </c>
      <c r="H330" s="2" t="str">
        <f>_xlfn.XLOOKUP(E330, Product_Master!A:A, Product_Master!B:B)</f>
        <v>Shoes</v>
      </c>
      <c r="I330" s="2" t="str">
        <f>_xlfn.XLOOKUP(E330, Product_Master!A:A, Product_Master!C:C)</f>
        <v>Clothing</v>
      </c>
      <c r="J330" s="2">
        <f>_xlfn.XLOOKUP(E330, Product_Master!A:A, Product_Master!D:D)</f>
        <v>2000</v>
      </c>
      <c r="K330" s="2">
        <f t="shared" si="20"/>
        <v>30816</v>
      </c>
      <c r="L330" s="2">
        <f t="shared" si="21"/>
        <v>8000</v>
      </c>
      <c r="M330" s="2">
        <f t="shared" si="22"/>
        <v>22816</v>
      </c>
      <c r="N330" s="2">
        <f>_xlfn.XLOOKUP(D330, Sales_Rep_Master!A:A, Sales_Rep_Master!B:B)</f>
        <v>870000</v>
      </c>
      <c r="O330" s="4">
        <f t="shared" si="23"/>
        <v>3.5420689655172415E-2</v>
      </c>
    </row>
    <row r="331" spans="1:15" ht="15.75" hidden="1" x14ac:dyDescent="0.25">
      <c r="A331" s="3" t="s">
        <v>574</v>
      </c>
      <c r="B331" s="2" t="s">
        <v>53</v>
      </c>
      <c r="C331" s="2" t="s">
        <v>33</v>
      </c>
      <c r="D331" s="2" t="s">
        <v>27</v>
      </c>
      <c r="E331" s="2" t="s">
        <v>34</v>
      </c>
      <c r="F331" s="2">
        <v>10</v>
      </c>
      <c r="G331" s="2">
        <v>1749</v>
      </c>
      <c r="H331" s="2" t="str">
        <f>_xlfn.XLOOKUP(E331, Product_Master!A:A, Product_Master!B:B)</f>
        <v>Jacket</v>
      </c>
      <c r="I331" s="2" t="str">
        <f>_xlfn.XLOOKUP(E331, Product_Master!A:A, Product_Master!C:C)</f>
        <v>Clothing</v>
      </c>
      <c r="J331" s="2">
        <f>_xlfn.XLOOKUP(E331, Product_Master!A:A, Product_Master!D:D)</f>
        <v>1500</v>
      </c>
      <c r="K331" s="2">
        <f t="shared" si="20"/>
        <v>17490</v>
      </c>
      <c r="L331" s="2">
        <f t="shared" si="21"/>
        <v>15000</v>
      </c>
      <c r="M331" s="2">
        <f t="shared" si="22"/>
        <v>2490</v>
      </c>
      <c r="N331" s="2">
        <f>_xlfn.XLOOKUP(D331, Sales_Rep_Master!A:A, Sales_Rep_Master!B:B)</f>
        <v>800000</v>
      </c>
      <c r="O331" s="4">
        <f t="shared" si="23"/>
        <v>2.18625E-2</v>
      </c>
    </row>
    <row r="332" spans="1:15" ht="15.75" hidden="1" x14ac:dyDescent="0.25">
      <c r="A332" s="3" t="s">
        <v>575</v>
      </c>
      <c r="B332" s="2" t="s">
        <v>576</v>
      </c>
      <c r="C332" s="2" t="s">
        <v>9</v>
      </c>
      <c r="D332" s="2" t="s">
        <v>152</v>
      </c>
      <c r="E332" s="2" t="s">
        <v>34</v>
      </c>
      <c r="F332" s="2">
        <v>2</v>
      </c>
      <c r="G332" s="2">
        <v>5882</v>
      </c>
      <c r="H332" s="2" t="str">
        <f>_xlfn.XLOOKUP(E332, Product_Master!A:A, Product_Master!B:B)</f>
        <v>Jacket</v>
      </c>
      <c r="I332" s="2" t="str">
        <f>_xlfn.XLOOKUP(E332, Product_Master!A:A, Product_Master!C:C)</f>
        <v>Clothing</v>
      </c>
      <c r="J332" s="2">
        <f>_xlfn.XLOOKUP(E332, Product_Master!A:A, Product_Master!D:D)</f>
        <v>1500</v>
      </c>
      <c r="K332" s="2">
        <f t="shared" si="20"/>
        <v>11764</v>
      </c>
      <c r="L332" s="2">
        <f t="shared" si="21"/>
        <v>3000</v>
      </c>
      <c r="M332" s="2">
        <f t="shared" si="22"/>
        <v>8764</v>
      </c>
      <c r="N332" s="2">
        <f>_xlfn.XLOOKUP(D332, Sales_Rep_Master!A:A, Sales_Rep_Master!B:B)</f>
        <v>870000</v>
      </c>
      <c r="O332" s="4">
        <f t="shared" si="23"/>
        <v>1.352183908045977E-2</v>
      </c>
    </row>
    <row r="333" spans="1:15" ht="15.75" x14ac:dyDescent="0.25">
      <c r="A333" s="3" t="s">
        <v>577</v>
      </c>
      <c r="B333" s="2" t="s">
        <v>164</v>
      </c>
      <c r="C333" s="2" t="s">
        <v>26</v>
      </c>
      <c r="D333" s="2" t="s">
        <v>27</v>
      </c>
      <c r="E333" s="2" t="s">
        <v>28</v>
      </c>
      <c r="F333" s="2">
        <v>8</v>
      </c>
      <c r="G333" s="2">
        <v>7973</v>
      </c>
      <c r="H333" s="2" t="str">
        <f>_xlfn.XLOOKUP(E333, Product_Master!A:A, Product_Master!B:B)</f>
        <v>Laptop</v>
      </c>
      <c r="I333" s="2" t="str">
        <f>_xlfn.XLOOKUP(E333, Product_Master!A:A, Product_Master!C:C)</f>
        <v>Electronics</v>
      </c>
      <c r="J333" s="2">
        <f>_xlfn.XLOOKUP(E333, Product_Master!A:A, Product_Master!D:D)</f>
        <v>35000</v>
      </c>
      <c r="K333" s="2">
        <f t="shared" si="20"/>
        <v>63784</v>
      </c>
      <c r="L333" s="2">
        <f t="shared" si="21"/>
        <v>280000</v>
      </c>
      <c r="M333" s="2">
        <f t="shared" si="22"/>
        <v>-216216</v>
      </c>
      <c r="N333" s="2">
        <f>_xlfn.XLOOKUP(D333, Sales_Rep_Master!A:A, Sales_Rep_Master!B:B)</f>
        <v>800000</v>
      </c>
      <c r="O333" s="4">
        <f t="shared" si="23"/>
        <v>7.9729999999999995E-2</v>
      </c>
    </row>
    <row r="334" spans="1:15" ht="15.75" hidden="1" x14ac:dyDescent="0.25">
      <c r="A334" s="3" t="s">
        <v>578</v>
      </c>
      <c r="B334" s="2" t="s">
        <v>579</v>
      </c>
      <c r="C334" s="2" t="s">
        <v>9</v>
      </c>
      <c r="D334" s="2" t="s">
        <v>14</v>
      </c>
      <c r="E334" s="2" t="s">
        <v>34</v>
      </c>
      <c r="F334" s="2">
        <v>8</v>
      </c>
      <c r="G334" s="2">
        <v>3599</v>
      </c>
      <c r="H334" s="2" t="str">
        <f>_xlfn.XLOOKUP(E334, Product_Master!A:A, Product_Master!B:B)</f>
        <v>Jacket</v>
      </c>
      <c r="I334" s="2" t="str">
        <f>_xlfn.XLOOKUP(E334, Product_Master!A:A, Product_Master!C:C)</f>
        <v>Clothing</v>
      </c>
      <c r="J334" s="2">
        <f>_xlfn.XLOOKUP(E334, Product_Master!A:A, Product_Master!D:D)</f>
        <v>1500</v>
      </c>
      <c r="K334" s="2">
        <f t="shared" si="20"/>
        <v>28792</v>
      </c>
      <c r="L334" s="2">
        <f t="shared" si="21"/>
        <v>12000</v>
      </c>
      <c r="M334" s="2">
        <f t="shared" si="22"/>
        <v>16792</v>
      </c>
      <c r="N334" s="2">
        <f>_xlfn.XLOOKUP(D334, Sales_Rep_Master!A:A, Sales_Rep_Master!B:B)</f>
        <v>880000</v>
      </c>
      <c r="O334" s="4">
        <f t="shared" si="23"/>
        <v>3.271818181818182E-2</v>
      </c>
    </row>
    <row r="335" spans="1:15" ht="15.75" x14ac:dyDescent="0.25">
      <c r="A335" s="3" t="s">
        <v>580</v>
      </c>
      <c r="B335" s="2" t="s">
        <v>581</v>
      </c>
      <c r="C335" s="2" t="s">
        <v>18</v>
      </c>
      <c r="D335" s="2" t="s">
        <v>51</v>
      </c>
      <c r="E335" s="2" t="s">
        <v>11</v>
      </c>
      <c r="F335" s="2">
        <v>9</v>
      </c>
      <c r="G335" s="2">
        <v>3376</v>
      </c>
      <c r="H335" s="2" t="str">
        <f>_xlfn.XLOOKUP(E335, Product_Master!A:A, Product_Master!B:B)</f>
        <v>Mobile</v>
      </c>
      <c r="I335" s="2" t="str">
        <f>_xlfn.XLOOKUP(E335, Product_Master!A:A, Product_Master!C:C)</f>
        <v>Electronics</v>
      </c>
      <c r="J335" s="2">
        <f>_xlfn.XLOOKUP(E335, Product_Master!A:A, Product_Master!D:D)</f>
        <v>18000</v>
      </c>
      <c r="K335" s="2">
        <f t="shared" si="20"/>
        <v>30384</v>
      </c>
      <c r="L335" s="2">
        <f t="shared" si="21"/>
        <v>162000</v>
      </c>
      <c r="M335" s="2">
        <f t="shared" si="22"/>
        <v>-131616</v>
      </c>
      <c r="N335" s="2">
        <f>_xlfn.XLOOKUP(D335, Sales_Rep_Master!A:A, Sales_Rep_Master!B:B)</f>
        <v>900000</v>
      </c>
      <c r="O335" s="4">
        <f t="shared" si="23"/>
        <v>3.3759999999999998E-2</v>
      </c>
    </row>
    <row r="336" spans="1:15" ht="15.75" x14ac:dyDescent="0.25">
      <c r="A336" s="3" t="s">
        <v>582</v>
      </c>
      <c r="B336" s="2" t="s">
        <v>147</v>
      </c>
      <c r="C336" s="2" t="s">
        <v>33</v>
      </c>
      <c r="D336" s="2" t="s">
        <v>10</v>
      </c>
      <c r="E336" s="2" t="s">
        <v>20</v>
      </c>
      <c r="F336" s="2">
        <v>14</v>
      </c>
      <c r="G336" s="2">
        <v>2633</v>
      </c>
      <c r="H336" s="2" t="str">
        <f>_xlfn.XLOOKUP(E336, Product_Master!A:A, Product_Master!B:B)</f>
        <v>Headphones</v>
      </c>
      <c r="I336" s="2" t="str">
        <f>_xlfn.XLOOKUP(E336, Product_Master!A:A, Product_Master!C:C)</f>
        <v>Electronics</v>
      </c>
      <c r="J336" s="2">
        <f>_xlfn.XLOOKUP(E336, Product_Master!A:A, Product_Master!D:D)</f>
        <v>2000</v>
      </c>
      <c r="K336" s="2">
        <f t="shared" si="20"/>
        <v>36862</v>
      </c>
      <c r="L336" s="2">
        <f t="shared" si="21"/>
        <v>28000</v>
      </c>
      <c r="M336" s="2">
        <f t="shared" si="22"/>
        <v>8862</v>
      </c>
      <c r="N336" s="2">
        <f>_xlfn.XLOOKUP(D336, Sales_Rep_Master!A:A, Sales_Rep_Master!B:B)</f>
        <v>920000</v>
      </c>
      <c r="O336" s="4">
        <f t="shared" si="23"/>
        <v>4.0067391304347826E-2</v>
      </c>
    </row>
    <row r="337" spans="1:15" ht="15.75" x14ac:dyDescent="0.25">
      <c r="A337" s="3" t="s">
        <v>583</v>
      </c>
      <c r="B337" s="2" t="s">
        <v>584</v>
      </c>
      <c r="C337" s="2" t="s">
        <v>26</v>
      </c>
      <c r="D337" s="2" t="s">
        <v>54</v>
      </c>
      <c r="E337" s="2" t="s">
        <v>28</v>
      </c>
      <c r="F337" s="2">
        <v>4</v>
      </c>
      <c r="G337" s="2">
        <v>6339</v>
      </c>
      <c r="H337" s="2" t="str">
        <f>_xlfn.XLOOKUP(E337, Product_Master!A:A, Product_Master!B:B)</f>
        <v>Laptop</v>
      </c>
      <c r="I337" s="2" t="str">
        <f>_xlfn.XLOOKUP(E337, Product_Master!A:A, Product_Master!C:C)</f>
        <v>Electronics</v>
      </c>
      <c r="J337" s="2">
        <f>_xlfn.XLOOKUP(E337, Product_Master!A:A, Product_Master!D:D)</f>
        <v>35000</v>
      </c>
      <c r="K337" s="2">
        <f t="shared" si="20"/>
        <v>25356</v>
      </c>
      <c r="L337" s="2">
        <f t="shared" si="21"/>
        <v>140000</v>
      </c>
      <c r="M337" s="2">
        <f t="shared" si="22"/>
        <v>-114644</v>
      </c>
      <c r="N337" s="2">
        <f>_xlfn.XLOOKUP(D337, Sales_Rep_Master!A:A, Sales_Rep_Master!B:B)</f>
        <v>890000</v>
      </c>
      <c r="O337" s="4">
        <f t="shared" si="23"/>
        <v>2.8489887640449438E-2</v>
      </c>
    </row>
    <row r="338" spans="1:15" ht="15.75" x14ac:dyDescent="0.25">
      <c r="A338" s="3" t="s">
        <v>585</v>
      </c>
      <c r="B338" s="2" t="s">
        <v>232</v>
      </c>
      <c r="C338" s="2" t="s">
        <v>26</v>
      </c>
      <c r="D338" s="2" t="s">
        <v>54</v>
      </c>
      <c r="E338" s="2" t="s">
        <v>20</v>
      </c>
      <c r="F338" s="2">
        <v>2</v>
      </c>
      <c r="G338" s="2">
        <v>6060</v>
      </c>
      <c r="H338" s="2" t="str">
        <f>_xlfn.XLOOKUP(E338, Product_Master!A:A, Product_Master!B:B)</f>
        <v>Headphones</v>
      </c>
      <c r="I338" s="2" t="str">
        <f>_xlfn.XLOOKUP(E338, Product_Master!A:A, Product_Master!C:C)</f>
        <v>Electronics</v>
      </c>
      <c r="J338" s="2">
        <f>_xlfn.XLOOKUP(E338, Product_Master!A:A, Product_Master!D:D)</f>
        <v>2000</v>
      </c>
      <c r="K338" s="2">
        <f t="shared" si="20"/>
        <v>12120</v>
      </c>
      <c r="L338" s="2">
        <f t="shared" si="21"/>
        <v>4000</v>
      </c>
      <c r="M338" s="2">
        <f t="shared" si="22"/>
        <v>8120</v>
      </c>
      <c r="N338" s="2">
        <f>_xlfn.XLOOKUP(D338, Sales_Rep_Master!A:A, Sales_Rep_Master!B:B)</f>
        <v>890000</v>
      </c>
      <c r="O338" s="4">
        <f t="shared" si="23"/>
        <v>1.3617977528089888E-2</v>
      </c>
    </row>
    <row r="339" spans="1:15" ht="15.75" hidden="1" x14ac:dyDescent="0.25">
      <c r="A339" s="3" t="s">
        <v>586</v>
      </c>
      <c r="B339" s="2" t="s">
        <v>193</v>
      </c>
      <c r="C339" s="2" t="s">
        <v>26</v>
      </c>
      <c r="D339" s="2" t="s">
        <v>37</v>
      </c>
      <c r="E339" s="2" t="s">
        <v>34</v>
      </c>
      <c r="F339" s="2">
        <v>15</v>
      </c>
      <c r="G339" s="2">
        <v>6122</v>
      </c>
      <c r="H339" s="2" t="str">
        <f>_xlfn.XLOOKUP(E339, Product_Master!A:A, Product_Master!B:B)</f>
        <v>Jacket</v>
      </c>
      <c r="I339" s="2" t="str">
        <f>_xlfn.XLOOKUP(E339, Product_Master!A:A, Product_Master!C:C)</f>
        <v>Clothing</v>
      </c>
      <c r="J339" s="2">
        <f>_xlfn.XLOOKUP(E339, Product_Master!A:A, Product_Master!D:D)</f>
        <v>1500</v>
      </c>
      <c r="K339" s="2">
        <f t="shared" si="20"/>
        <v>91830</v>
      </c>
      <c r="L339" s="2">
        <f t="shared" si="21"/>
        <v>22500</v>
      </c>
      <c r="M339" s="2">
        <f t="shared" si="22"/>
        <v>69330</v>
      </c>
      <c r="N339" s="2">
        <f>_xlfn.XLOOKUP(D339, Sales_Rep_Master!A:A, Sales_Rep_Master!B:B)</f>
        <v>850000</v>
      </c>
      <c r="O339" s="4">
        <f t="shared" si="23"/>
        <v>0.10803529411764706</v>
      </c>
    </row>
    <row r="340" spans="1:15" ht="15.75" hidden="1" x14ac:dyDescent="0.25">
      <c r="A340" s="3" t="s">
        <v>587</v>
      </c>
      <c r="B340" s="2" t="s">
        <v>588</v>
      </c>
      <c r="C340" s="2" t="s">
        <v>26</v>
      </c>
      <c r="D340" s="2" t="s">
        <v>27</v>
      </c>
      <c r="E340" s="2" t="s">
        <v>61</v>
      </c>
      <c r="F340" s="2">
        <v>9</v>
      </c>
      <c r="G340" s="2">
        <v>3078</v>
      </c>
      <c r="H340" s="2" t="str">
        <f>_xlfn.XLOOKUP(E340, Product_Master!A:A, Product_Master!B:B)</f>
        <v>Shoes</v>
      </c>
      <c r="I340" s="2" t="str">
        <f>_xlfn.XLOOKUP(E340, Product_Master!A:A, Product_Master!C:C)</f>
        <v>Clothing</v>
      </c>
      <c r="J340" s="2">
        <f>_xlfn.XLOOKUP(E340, Product_Master!A:A, Product_Master!D:D)</f>
        <v>2000</v>
      </c>
      <c r="K340" s="2">
        <f t="shared" si="20"/>
        <v>27702</v>
      </c>
      <c r="L340" s="2">
        <f t="shared" si="21"/>
        <v>18000</v>
      </c>
      <c r="M340" s="2">
        <f t="shared" si="22"/>
        <v>9702</v>
      </c>
      <c r="N340" s="2">
        <f>_xlfn.XLOOKUP(D340, Sales_Rep_Master!A:A, Sales_Rep_Master!B:B)</f>
        <v>800000</v>
      </c>
      <c r="O340" s="4">
        <f t="shared" si="23"/>
        <v>3.4627499999999999E-2</v>
      </c>
    </row>
    <row r="341" spans="1:15" ht="15.75" x14ac:dyDescent="0.25">
      <c r="A341" s="3" t="s">
        <v>589</v>
      </c>
      <c r="B341" s="2" t="s">
        <v>187</v>
      </c>
      <c r="C341" s="2" t="s">
        <v>9</v>
      </c>
      <c r="D341" s="2" t="s">
        <v>152</v>
      </c>
      <c r="E341" s="2" t="s">
        <v>11</v>
      </c>
      <c r="F341" s="2">
        <v>15</v>
      </c>
      <c r="G341" s="2">
        <v>3526</v>
      </c>
      <c r="H341" s="2" t="str">
        <f>_xlfn.XLOOKUP(E341, Product_Master!A:A, Product_Master!B:B)</f>
        <v>Mobile</v>
      </c>
      <c r="I341" s="2" t="str">
        <f>_xlfn.XLOOKUP(E341, Product_Master!A:A, Product_Master!C:C)</f>
        <v>Electronics</v>
      </c>
      <c r="J341" s="2">
        <f>_xlfn.XLOOKUP(E341, Product_Master!A:A, Product_Master!D:D)</f>
        <v>18000</v>
      </c>
      <c r="K341" s="2">
        <f t="shared" si="20"/>
        <v>52890</v>
      </c>
      <c r="L341" s="2">
        <f t="shared" si="21"/>
        <v>270000</v>
      </c>
      <c r="M341" s="2">
        <f t="shared" si="22"/>
        <v>-217110</v>
      </c>
      <c r="N341" s="2">
        <f>_xlfn.XLOOKUP(D341, Sales_Rep_Master!A:A, Sales_Rep_Master!B:B)</f>
        <v>870000</v>
      </c>
      <c r="O341" s="4">
        <f t="shared" si="23"/>
        <v>6.0793103448275862E-2</v>
      </c>
    </row>
    <row r="342" spans="1:15" ht="15.75" hidden="1" x14ac:dyDescent="0.25">
      <c r="A342" s="3" t="s">
        <v>590</v>
      </c>
      <c r="B342" s="2" t="s">
        <v>561</v>
      </c>
      <c r="C342" s="2" t="s">
        <v>18</v>
      </c>
      <c r="D342" s="2" t="s">
        <v>51</v>
      </c>
      <c r="E342" s="2" t="s">
        <v>34</v>
      </c>
      <c r="F342" s="2">
        <v>9</v>
      </c>
      <c r="G342" s="2">
        <v>6031</v>
      </c>
      <c r="H342" s="2" t="str">
        <f>_xlfn.XLOOKUP(E342, Product_Master!A:A, Product_Master!B:B)</f>
        <v>Jacket</v>
      </c>
      <c r="I342" s="2" t="str">
        <f>_xlfn.XLOOKUP(E342, Product_Master!A:A, Product_Master!C:C)</f>
        <v>Clothing</v>
      </c>
      <c r="J342" s="2">
        <f>_xlfn.XLOOKUP(E342, Product_Master!A:A, Product_Master!D:D)</f>
        <v>1500</v>
      </c>
      <c r="K342" s="2">
        <f t="shared" si="20"/>
        <v>54279</v>
      </c>
      <c r="L342" s="2">
        <f t="shared" si="21"/>
        <v>13500</v>
      </c>
      <c r="M342" s="2">
        <f t="shared" si="22"/>
        <v>40779</v>
      </c>
      <c r="N342" s="2">
        <f>_xlfn.XLOOKUP(D342, Sales_Rep_Master!A:A, Sales_Rep_Master!B:B)</f>
        <v>900000</v>
      </c>
      <c r="O342" s="4">
        <f t="shared" si="23"/>
        <v>6.0310000000000002E-2</v>
      </c>
    </row>
    <row r="343" spans="1:15" ht="15.75" hidden="1" x14ac:dyDescent="0.25">
      <c r="A343" s="3" t="s">
        <v>591</v>
      </c>
      <c r="B343" s="2" t="s">
        <v>592</v>
      </c>
      <c r="C343" s="2" t="s">
        <v>33</v>
      </c>
      <c r="D343" s="2" t="s">
        <v>51</v>
      </c>
      <c r="E343" s="2" t="s">
        <v>40</v>
      </c>
      <c r="F343" s="2">
        <v>11</v>
      </c>
      <c r="G343" s="2">
        <v>2851</v>
      </c>
      <c r="H343" s="2" t="str">
        <f>_xlfn.XLOOKUP(E343, Product_Master!A:A, Product_Master!B:B)</f>
        <v>Table</v>
      </c>
      <c r="I343" s="2" t="str">
        <f>_xlfn.XLOOKUP(E343, Product_Master!A:A, Product_Master!C:C)</f>
        <v>Furniture</v>
      </c>
      <c r="J343" s="2">
        <f>_xlfn.XLOOKUP(E343, Product_Master!A:A, Product_Master!D:D)</f>
        <v>7000</v>
      </c>
      <c r="K343" s="2">
        <f t="shared" si="20"/>
        <v>31361</v>
      </c>
      <c r="L343" s="2">
        <f t="shared" si="21"/>
        <v>77000</v>
      </c>
      <c r="M343" s="2">
        <f t="shared" si="22"/>
        <v>-45639</v>
      </c>
      <c r="N343" s="2">
        <f>_xlfn.XLOOKUP(D343, Sales_Rep_Master!A:A, Sales_Rep_Master!B:B)</f>
        <v>900000</v>
      </c>
      <c r="O343" s="4">
        <f t="shared" si="23"/>
        <v>3.4845555555555553E-2</v>
      </c>
    </row>
    <row r="344" spans="1:15" ht="15.75" x14ac:dyDescent="0.25">
      <c r="A344" s="3" t="s">
        <v>593</v>
      </c>
      <c r="B344" s="2" t="s">
        <v>345</v>
      </c>
      <c r="C344" s="2" t="s">
        <v>9</v>
      </c>
      <c r="D344" s="2" t="s">
        <v>19</v>
      </c>
      <c r="E344" s="2" t="s">
        <v>11</v>
      </c>
      <c r="F344" s="2">
        <v>6</v>
      </c>
      <c r="G344" s="2">
        <v>1556</v>
      </c>
      <c r="H344" s="2" t="str">
        <f>_xlfn.XLOOKUP(E344, Product_Master!A:A, Product_Master!B:B)</f>
        <v>Mobile</v>
      </c>
      <c r="I344" s="2" t="str">
        <f>_xlfn.XLOOKUP(E344, Product_Master!A:A, Product_Master!C:C)</f>
        <v>Electronics</v>
      </c>
      <c r="J344" s="2">
        <f>_xlfn.XLOOKUP(E344, Product_Master!A:A, Product_Master!D:D)</f>
        <v>18000</v>
      </c>
      <c r="K344" s="2">
        <f t="shared" si="20"/>
        <v>9336</v>
      </c>
      <c r="L344" s="2">
        <f t="shared" si="21"/>
        <v>108000</v>
      </c>
      <c r="M344" s="2">
        <f t="shared" si="22"/>
        <v>-98664</v>
      </c>
      <c r="N344" s="2">
        <f>_xlfn.XLOOKUP(D344, Sales_Rep_Master!A:A, Sales_Rep_Master!B:B)</f>
        <v>950000</v>
      </c>
      <c r="O344" s="4">
        <f t="shared" si="23"/>
        <v>9.8273684210526315E-3</v>
      </c>
    </row>
    <row r="345" spans="1:15" ht="15.75" x14ac:dyDescent="0.25">
      <c r="A345" s="3" t="s">
        <v>594</v>
      </c>
      <c r="B345" s="2" t="s">
        <v>327</v>
      </c>
      <c r="C345" s="2" t="s">
        <v>33</v>
      </c>
      <c r="D345" s="2" t="s">
        <v>27</v>
      </c>
      <c r="E345" s="2" t="s">
        <v>11</v>
      </c>
      <c r="F345" s="2">
        <v>11</v>
      </c>
      <c r="G345" s="2">
        <v>1914</v>
      </c>
      <c r="H345" s="2" t="str">
        <f>_xlfn.XLOOKUP(E345, Product_Master!A:A, Product_Master!B:B)</f>
        <v>Mobile</v>
      </c>
      <c r="I345" s="2" t="str">
        <f>_xlfn.XLOOKUP(E345, Product_Master!A:A, Product_Master!C:C)</f>
        <v>Electronics</v>
      </c>
      <c r="J345" s="2">
        <f>_xlfn.XLOOKUP(E345, Product_Master!A:A, Product_Master!D:D)</f>
        <v>18000</v>
      </c>
      <c r="K345" s="2">
        <f t="shared" si="20"/>
        <v>21054</v>
      </c>
      <c r="L345" s="2">
        <f t="shared" si="21"/>
        <v>198000</v>
      </c>
      <c r="M345" s="2">
        <f t="shared" si="22"/>
        <v>-176946</v>
      </c>
      <c r="N345" s="2">
        <f>_xlfn.XLOOKUP(D345, Sales_Rep_Master!A:A, Sales_Rep_Master!B:B)</f>
        <v>800000</v>
      </c>
      <c r="O345" s="4">
        <f t="shared" si="23"/>
        <v>2.6317500000000001E-2</v>
      </c>
    </row>
    <row r="346" spans="1:15" ht="15.75" hidden="1" x14ac:dyDescent="0.25">
      <c r="A346" s="3" t="s">
        <v>595</v>
      </c>
      <c r="B346" s="2" t="s">
        <v>596</v>
      </c>
      <c r="C346" s="2" t="s">
        <v>26</v>
      </c>
      <c r="D346" s="2" t="s">
        <v>37</v>
      </c>
      <c r="E346" s="2" t="s">
        <v>34</v>
      </c>
      <c r="F346" s="2">
        <v>11</v>
      </c>
      <c r="G346" s="2">
        <v>5856</v>
      </c>
      <c r="H346" s="2" t="str">
        <f>_xlfn.XLOOKUP(E346, Product_Master!A:A, Product_Master!B:B)</f>
        <v>Jacket</v>
      </c>
      <c r="I346" s="2" t="str">
        <f>_xlfn.XLOOKUP(E346, Product_Master!A:A, Product_Master!C:C)</f>
        <v>Clothing</v>
      </c>
      <c r="J346" s="2">
        <f>_xlfn.XLOOKUP(E346, Product_Master!A:A, Product_Master!D:D)</f>
        <v>1500</v>
      </c>
      <c r="K346" s="2">
        <f t="shared" si="20"/>
        <v>64416</v>
      </c>
      <c r="L346" s="2">
        <f t="shared" si="21"/>
        <v>16500</v>
      </c>
      <c r="M346" s="2">
        <f t="shared" si="22"/>
        <v>47916</v>
      </c>
      <c r="N346" s="2">
        <f>_xlfn.XLOOKUP(D346, Sales_Rep_Master!A:A, Sales_Rep_Master!B:B)</f>
        <v>850000</v>
      </c>
      <c r="O346" s="4">
        <f t="shared" si="23"/>
        <v>7.5783529411764708E-2</v>
      </c>
    </row>
    <row r="347" spans="1:15" ht="15.75" hidden="1" x14ac:dyDescent="0.25">
      <c r="A347" s="3" t="s">
        <v>597</v>
      </c>
      <c r="B347" s="2" t="s">
        <v>596</v>
      </c>
      <c r="C347" s="2" t="s">
        <v>26</v>
      </c>
      <c r="D347" s="2" t="s">
        <v>54</v>
      </c>
      <c r="E347" s="2" t="s">
        <v>34</v>
      </c>
      <c r="F347" s="2">
        <v>8</v>
      </c>
      <c r="G347" s="2">
        <v>4986</v>
      </c>
      <c r="H347" s="2" t="str">
        <f>_xlfn.XLOOKUP(E347, Product_Master!A:A, Product_Master!B:B)</f>
        <v>Jacket</v>
      </c>
      <c r="I347" s="2" t="str">
        <f>_xlfn.XLOOKUP(E347, Product_Master!A:A, Product_Master!C:C)</f>
        <v>Clothing</v>
      </c>
      <c r="J347" s="2">
        <f>_xlfn.XLOOKUP(E347, Product_Master!A:A, Product_Master!D:D)</f>
        <v>1500</v>
      </c>
      <c r="K347" s="2">
        <f t="shared" si="20"/>
        <v>39888</v>
      </c>
      <c r="L347" s="2">
        <f t="shared" si="21"/>
        <v>12000</v>
      </c>
      <c r="M347" s="2">
        <f t="shared" si="22"/>
        <v>27888</v>
      </c>
      <c r="N347" s="2">
        <f>_xlfn.XLOOKUP(D347, Sales_Rep_Master!A:A, Sales_Rep_Master!B:B)</f>
        <v>890000</v>
      </c>
      <c r="O347" s="4">
        <f t="shared" si="23"/>
        <v>4.4817977528089886E-2</v>
      </c>
    </row>
    <row r="348" spans="1:15" ht="15.75" hidden="1" x14ac:dyDescent="0.25">
      <c r="A348" s="3" t="s">
        <v>598</v>
      </c>
      <c r="B348" s="2" t="s">
        <v>149</v>
      </c>
      <c r="C348" s="2" t="s">
        <v>9</v>
      </c>
      <c r="D348" s="2" t="s">
        <v>37</v>
      </c>
      <c r="E348" s="2" t="s">
        <v>23</v>
      </c>
      <c r="F348" s="2">
        <v>13</v>
      </c>
      <c r="G348" s="2">
        <v>6378</v>
      </c>
      <c r="H348" s="2" t="str">
        <f>_xlfn.XLOOKUP(E348, Product_Master!A:A, Product_Master!B:B)</f>
        <v>Sofa</v>
      </c>
      <c r="I348" s="2" t="str">
        <f>_xlfn.XLOOKUP(E348, Product_Master!A:A, Product_Master!C:C)</f>
        <v>Furniture</v>
      </c>
      <c r="J348" s="2">
        <f>_xlfn.XLOOKUP(E348, Product_Master!A:A, Product_Master!D:D)</f>
        <v>15000</v>
      </c>
      <c r="K348" s="2">
        <f t="shared" si="20"/>
        <v>82914</v>
      </c>
      <c r="L348" s="2">
        <f t="shared" si="21"/>
        <v>195000</v>
      </c>
      <c r="M348" s="2">
        <f t="shared" si="22"/>
        <v>-112086</v>
      </c>
      <c r="N348" s="2">
        <f>_xlfn.XLOOKUP(D348, Sales_Rep_Master!A:A, Sales_Rep_Master!B:B)</f>
        <v>850000</v>
      </c>
      <c r="O348" s="4">
        <f t="shared" si="23"/>
        <v>9.7545882352941177E-2</v>
      </c>
    </row>
    <row r="349" spans="1:15" ht="15.75" hidden="1" x14ac:dyDescent="0.25">
      <c r="A349" s="3" t="s">
        <v>599</v>
      </c>
      <c r="B349" s="2" t="s">
        <v>313</v>
      </c>
      <c r="C349" s="2" t="s">
        <v>9</v>
      </c>
      <c r="D349" s="2" t="s">
        <v>51</v>
      </c>
      <c r="E349" s="2" t="s">
        <v>23</v>
      </c>
      <c r="F349" s="2">
        <v>5</v>
      </c>
      <c r="G349" s="2">
        <v>4141</v>
      </c>
      <c r="H349" s="2" t="str">
        <f>_xlfn.XLOOKUP(E349, Product_Master!A:A, Product_Master!B:B)</f>
        <v>Sofa</v>
      </c>
      <c r="I349" s="2" t="str">
        <f>_xlfn.XLOOKUP(E349, Product_Master!A:A, Product_Master!C:C)</f>
        <v>Furniture</v>
      </c>
      <c r="J349" s="2">
        <f>_xlfn.XLOOKUP(E349, Product_Master!A:A, Product_Master!D:D)</f>
        <v>15000</v>
      </c>
      <c r="K349" s="2">
        <f t="shared" si="20"/>
        <v>20705</v>
      </c>
      <c r="L349" s="2">
        <f t="shared" si="21"/>
        <v>75000</v>
      </c>
      <c r="M349" s="2">
        <f t="shared" si="22"/>
        <v>-54295</v>
      </c>
      <c r="N349" s="2">
        <f>_xlfn.XLOOKUP(D349, Sales_Rep_Master!A:A, Sales_Rep_Master!B:B)</f>
        <v>900000</v>
      </c>
      <c r="O349" s="4">
        <f t="shared" si="23"/>
        <v>2.3005555555555557E-2</v>
      </c>
    </row>
    <row r="350" spans="1:15" ht="15.75" hidden="1" x14ac:dyDescent="0.25">
      <c r="A350" s="3" t="s">
        <v>600</v>
      </c>
      <c r="B350" s="2" t="s">
        <v>180</v>
      </c>
      <c r="C350" s="2" t="s">
        <v>33</v>
      </c>
      <c r="D350" s="2" t="s">
        <v>27</v>
      </c>
      <c r="E350" s="2" t="s">
        <v>61</v>
      </c>
      <c r="F350" s="2">
        <v>2</v>
      </c>
      <c r="G350" s="2">
        <v>5539</v>
      </c>
      <c r="H350" s="2" t="str">
        <f>_xlfn.XLOOKUP(E350, Product_Master!A:A, Product_Master!B:B)</f>
        <v>Shoes</v>
      </c>
      <c r="I350" s="2" t="str">
        <f>_xlfn.XLOOKUP(E350, Product_Master!A:A, Product_Master!C:C)</f>
        <v>Clothing</v>
      </c>
      <c r="J350" s="2">
        <f>_xlfn.XLOOKUP(E350, Product_Master!A:A, Product_Master!D:D)</f>
        <v>2000</v>
      </c>
      <c r="K350" s="2">
        <f t="shared" si="20"/>
        <v>11078</v>
      </c>
      <c r="L350" s="2">
        <f t="shared" si="21"/>
        <v>4000</v>
      </c>
      <c r="M350" s="2">
        <f t="shared" si="22"/>
        <v>7078</v>
      </c>
      <c r="N350" s="2">
        <f>_xlfn.XLOOKUP(D350, Sales_Rep_Master!A:A, Sales_Rep_Master!B:B)</f>
        <v>800000</v>
      </c>
      <c r="O350" s="4">
        <f t="shared" si="23"/>
        <v>1.38475E-2</v>
      </c>
    </row>
    <row r="351" spans="1:15" ht="15.75" x14ac:dyDescent="0.25">
      <c r="A351" s="3" t="s">
        <v>601</v>
      </c>
      <c r="B351" s="2" t="s">
        <v>412</v>
      </c>
      <c r="C351" s="2" t="s">
        <v>33</v>
      </c>
      <c r="D351" s="2" t="s">
        <v>37</v>
      </c>
      <c r="E351" s="2" t="s">
        <v>20</v>
      </c>
      <c r="F351" s="2">
        <v>8</v>
      </c>
      <c r="G351" s="2">
        <v>4668</v>
      </c>
      <c r="H351" s="2" t="str">
        <f>_xlfn.XLOOKUP(E351, Product_Master!A:A, Product_Master!B:B)</f>
        <v>Headphones</v>
      </c>
      <c r="I351" s="2" t="str">
        <f>_xlfn.XLOOKUP(E351, Product_Master!A:A, Product_Master!C:C)</f>
        <v>Electronics</v>
      </c>
      <c r="J351" s="2">
        <f>_xlfn.XLOOKUP(E351, Product_Master!A:A, Product_Master!D:D)</f>
        <v>2000</v>
      </c>
      <c r="K351" s="2">
        <f t="shared" si="20"/>
        <v>37344</v>
      </c>
      <c r="L351" s="2">
        <f t="shared" si="21"/>
        <v>16000</v>
      </c>
      <c r="M351" s="2">
        <f t="shared" si="22"/>
        <v>21344</v>
      </c>
      <c r="N351" s="2">
        <f>_xlfn.XLOOKUP(D351, Sales_Rep_Master!A:A, Sales_Rep_Master!B:B)</f>
        <v>850000</v>
      </c>
      <c r="O351" s="4">
        <f t="shared" si="23"/>
        <v>4.3934117647058825E-2</v>
      </c>
    </row>
    <row r="352" spans="1:15" ht="15.75" hidden="1" x14ac:dyDescent="0.25">
      <c r="A352" s="3" t="s">
        <v>602</v>
      </c>
      <c r="B352" s="2" t="s">
        <v>67</v>
      </c>
      <c r="C352" s="2" t="s">
        <v>9</v>
      </c>
      <c r="D352" s="2" t="s">
        <v>54</v>
      </c>
      <c r="E352" s="2" t="s">
        <v>34</v>
      </c>
      <c r="F352" s="2">
        <v>5</v>
      </c>
      <c r="G352" s="2">
        <v>2667</v>
      </c>
      <c r="H352" s="2" t="str">
        <f>_xlfn.XLOOKUP(E352, Product_Master!A:A, Product_Master!B:B)</f>
        <v>Jacket</v>
      </c>
      <c r="I352" s="2" t="str">
        <f>_xlfn.XLOOKUP(E352, Product_Master!A:A, Product_Master!C:C)</f>
        <v>Clothing</v>
      </c>
      <c r="J352" s="2">
        <f>_xlfn.XLOOKUP(E352, Product_Master!A:A, Product_Master!D:D)</f>
        <v>1500</v>
      </c>
      <c r="K352" s="2">
        <f t="shared" si="20"/>
        <v>13335</v>
      </c>
      <c r="L352" s="2">
        <f t="shared" si="21"/>
        <v>7500</v>
      </c>
      <c r="M352" s="2">
        <f t="shared" si="22"/>
        <v>5835</v>
      </c>
      <c r="N352" s="2">
        <f>_xlfn.XLOOKUP(D352, Sales_Rep_Master!A:A, Sales_Rep_Master!B:B)</f>
        <v>890000</v>
      </c>
      <c r="O352" s="4">
        <f t="shared" si="23"/>
        <v>1.498314606741573E-2</v>
      </c>
    </row>
    <row r="353" spans="1:15" ht="15.75" x14ac:dyDescent="0.25">
      <c r="A353" s="3" t="s">
        <v>603</v>
      </c>
      <c r="B353" s="2" t="s">
        <v>282</v>
      </c>
      <c r="C353" s="2" t="s">
        <v>9</v>
      </c>
      <c r="D353" s="2" t="s">
        <v>10</v>
      </c>
      <c r="E353" s="2" t="s">
        <v>11</v>
      </c>
      <c r="F353" s="2">
        <v>4</v>
      </c>
      <c r="G353" s="2">
        <v>7076</v>
      </c>
      <c r="H353" s="2" t="str">
        <f>_xlfn.XLOOKUP(E353, Product_Master!A:A, Product_Master!B:B)</f>
        <v>Mobile</v>
      </c>
      <c r="I353" s="2" t="str">
        <f>_xlfn.XLOOKUP(E353, Product_Master!A:A, Product_Master!C:C)</f>
        <v>Electronics</v>
      </c>
      <c r="J353" s="2">
        <f>_xlfn.XLOOKUP(E353, Product_Master!A:A, Product_Master!D:D)</f>
        <v>18000</v>
      </c>
      <c r="K353" s="2">
        <f t="shared" si="20"/>
        <v>28304</v>
      </c>
      <c r="L353" s="2">
        <f t="shared" si="21"/>
        <v>72000</v>
      </c>
      <c r="M353" s="2">
        <f t="shared" si="22"/>
        <v>-43696</v>
      </c>
      <c r="N353" s="2">
        <f>_xlfn.XLOOKUP(D353, Sales_Rep_Master!A:A, Sales_Rep_Master!B:B)</f>
        <v>920000</v>
      </c>
      <c r="O353" s="4">
        <f t="shared" si="23"/>
        <v>3.0765217391304348E-2</v>
      </c>
    </row>
    <row r="354" spans="1:15" ht="15.75" hidden="1" x14ac:dyDescent="0.25">
      <c r="A354" s="3" t="s">
        <v>604</v>
      </c>
      <c r="B354" s="2" t="s">
        <v>273</v>
      </c>
      <c r="C354" s="2" t="s">
        <v>18</v>
      </c>
      <c r="D354" s="2" t="s">
        <v>19</v>
      </c>
      <c r="E354" s="2" t="s">
        <v>15</v>
      </c>
      <c r="F354" s="2">
        <v>12</v>
      </c>
      <c r="G354" s="2">
        <v>965</v>
      </c>
      <c r="H354" s="2" t="str">
        <f>_xlfn.XLOOKUP(E354, Product_Master!A:A, Product_Master!B:B)</f>
        <v>Chair</v>
      </c>
      <c r="I354" s="2" t="str">
        <f>_xlfn.XLOOKUP(E354, Product_Master!A:A, Product_Master!C:C)</f>
        <v>Furniture</v>
      </c>
      <c r="J354" s="2">
        <f>_xlfn.XLOOKUP(E354, Product_Master!A:A, Product_Master!D:D)</f>
        <v>2500</v>
      </c>
      <c r="K354" s="2">
        <f t="shared" si="20"/>
        <v>11580</v>
      </c>
      <c r="L354" s="2">
        <f t="shared" si="21"/>
        <v>30000</v>
      </c>
      <c r="M354" s="2">
        <f t="shared" si="22"/>
        <v>-18420</v>
      </c>
      <c r="N354" s="2">
        <f>_xlfn.XLOOKUP(D354, Sales_Rep_Master!A:A, Sales_Rep_Master!B:B)</f>
        <v>950000</v>
      </c>
      <c r="O354" s="4">
        <f t="shared" si="23"/>
        <v>1.2189473684210526E-2</v>
      </c>
    </row>
    <row r="355" spans="1:15" ht="15.75" hidden="1" x14ac:dyDescent="0.25">
      <c r="A355" s="3" t="s">
        <v>605</v>
      </c>
      <c r="B355" s="2" t="s">
        <v>135</v>
      </c>
      <c r="C355" s="2" t="s">
        <v>9</v>
      </c>
      <c r="D355" s="2" t="s">
        <v>10</v>
      </c>
      <c r="E355" s="2" t="s">
        <v>15</v>
      </c>
      <c r="F355" s="2">
        <v>15</v>
      </c>
      <c r="G355" s="2">
        <v>6508</v>
      </c>
      <c r="H355" s="2" t="str">
        <f>_xlfn.XLOOKUP(E355, Product_Master!A:A, Product_Master!B:B)</f>
        <v>Chair</v>
      </c>
      <c r="I355" s="2" t="str">
        <f>_xlfn.XLOOKUP(E355, Product_Master!A:A, Product_Master!C:C)</f>
        <v>Furniture</v>
      </c>
      <c r="J355" s="2">
        <f>_xlfn.XLOOKUP(E355, Product_Master!A:A, Product_Master!D:D)</f>
        <v>2500</v>
      </c>
      <c r="K355" s="2">
        <f t="shared" si="20"/>
        <v>97620</v>
      </c>
      <c r="L355" s="2">
        <f t="shared" si="21"/>
        <v>37500</v>
      </c>
      <c r="M355" s="2">
        <f t="shared" si="22"/>
        <v>60120</v>
      </c>
      <c r="N355" s="2">
        <f>_xlfn.XLOOKUP(D355, Sales_Rep_Master!A:A, Sales_Rep_Master!B:B)</f>
        <v>920000</v>
      </c>
      <c r="O355" s="4">
        <f t="shared" si="23"/>
        <v>0.10610869565217391</v>
      </c>
    </row>
    <row r="356" spans="1:15" ht="15.75" x14ac:dyDescent="0.25">
      <c r="A356" s="3" t="s">
        <v>606</v>
      </c>
      <c r="B356" s="2" t="s">
        <v>216</v>
      </c>
      <c r="C356" s="2" t="s">
        <v>26</v>
      </c>
      <c r="D356" s="2" t="s">
        <v>10</v>
      </c>
      <c r="E356" s="2" t="s">
        <v>11</v>
      </c>
      <c r="F356" s="2">
        <v>3</v>
      </c>
      <c r="G356" s="2">
        <v>533</v>
      </c>
      <c r="H356" s="2" t="str">
        <f>_xlfn.XLOOKUP(E356, Product_Master!A:A, Product_Master!B:B)</f>
        <v>Mobile</v>
      </c>
      <c r="I356" s="2" t="str">
        <f>_xlfn.XLOOKUP(E356, Product_Master!A:A, Product_Master!C:C)</f>
        <v>Electronics</v>
      </c>
      <c r="J356" s="2">
        <f>_xlfn.XLOOKUP(E356, Product_Master!A:A, Product_Master!D:D)</f>
        <v>18000</v>
      </c>
      <c r="K356" s="2">
        <f t="shared" si="20"/>
        <v>1599</v>
      </c>
      <c r="L356" s="2">
        <f t="shared" si="21"/>
        <v>54000</v>
      </c>
      <c r="M356" s="2">
        <f t="shared" si="22"/>
        <v>-52401</v>
      </c>
      <c r="N356" s="2">
        <f>_xlfn.XLOOKUP(D356, Sales_Rep_Master!A:A, Sales_Rep_Master!B:B)</f>
        <v>920000</v>
      </c>
      <c r="O356" s="4">
        <f t="shared" si="23"/>
        <v>1.7380434782608696E-3</v>
      </c>
    </row>
    <row r="357" spans="1:15" ht="15.75" hidden="1" x14ac:dyDescent="0.25">
      <c r="A357" s="3" t="s">
        <v>607</v>
      </c>
      <c r="B357" s="2" t="s">
        <v>608</v>
      </c>
      <c r="C357" s="2" t="s">
        <v>9</v>
      </c>
      <c r="D357" s="2" t="s">
        <v>19</v>
      </c>
      <c r="E357" s="2" t="s">
        <v>23</v>
      </c>
      <c r="F357" s="2">
        <v>8</v>
      </c>
      <c r="G357" s="2">
        <v>5385</v>
      </c>
      <c r="H357" s="2" t="str">
        <f>_xlfn.XLOOKUP(E357, Product_Master!A:A, Product_Master!B:B)</f>
        <v>Sofa</v>
      </c>
      <c r="I357" s="2" t="str">
        <f>_xlfn.XLOOKUP(E357, Product_Master!A:A, Product_Master!C:C)</f>
        <v>Furniture</v>
      </c>
      <c r="J357" s="2">
        <f>_xlfn.XLOOKUP(E357, Product_Master!A:A, Product_Master!D:D)</f>
        <v>15000</v>
      </c>
      <c r="K357" s="2">
        <f t="shared" si="20"/>
        <v>43080</v>
      </c>
      <c r="L357" s="2">
        <f t="shared" si="21"/>
        <v>120000</v>
      </c>
      <c r="M357" s="2">
        <f t="shared" si="22"/>
        <v>-76920</v>
      </c>
      <c r="N357" s="2">
        <f>_xlfn.XLOOKUP(D357, Sales_Rep_Master!A:A, Sales_Rep_Master!B:B)</f>
        <v>950000</v>
      </c>
      <c r="O357" s="4">
        <f t="shared" si="23"/>
        <v>4.5347368421052629E-2</v>
      </c>
    </row>
    <row r="358" spans="1:15" ht="15.75" x14ac:dyDescent="0.25">
      <c r="A358" s="3" t="s">
        <v>609</v>
      </c>
      <c r="B358" s="2" t="s">
        <v>295</v>
      </c>
      <c r="C358" s="2" t="s">
        <v>33</v>
      </c>
      <c r="D358" s="2" t="s">
        <v>14</v>
      </c>
      <c r="E358" s="2" t="s">
        <v>11</v>
      </c>
      <c r="F358" s="2">
        <v>2</v>
      </c>
      <c r="G358" s="2">
        <v>7737</v>
      </c>
      <c r="H358" s="2" t="str">
        <f>_xlfn.XLOOKUP(E358, Product_Master!A:A, Product_Master!B:B)</f>
        <v>Mobile</v>
      </c>
      <c r="I358" s="2" t="str">
        <f>_xlfn.XLOOKUP(E358, Product_Master!A:A, Product_Master!C:C)</f>
        <v>Electronics</v>
      </c>
      <c r="J358" s="2">
        <f>_xlfn.XLOOKUP(E358, Product_Master!A:A, Product_Master!D:D)</f>
        <v>18000</v>
      </c>
      <c r="K358" s="2">
        <f t="shared" si="20"/>
        <v>15474</v>
      </c>
      <c r="L358" s="2">
        <f t="shared" si="21"/>
        <v>36000</v>
      </c>
      <c r="M358" s="2">
        <f t="shared" si="22"/>
        <v>-20526</v>
      </c>
      <c r="N358" s="2">
        <f>_xlfn.XLOOKUP(D358, Sales_Rep_Master!A:A, Sales_Rep_Master!B:B)</f>
        <v>880000</v>
      </c>
      <c r="O358" s="4">
        <f t="shared" si="23"/>
        <v>1.758409090909091E-2</v>
      </c>
    </row>
    <row r="359" spans="1:15" ht="15.75" hidden="1" x14ac:dyDescent="0.25">
      <c r="A359" s="3" t="s">
        <v>610</v>
      </c>
      <c r="B359" s="2" t="s">
        <v>25</v>
      </c>
      <c r="C359" s="2" t="s">
        <v>26</v>
      </c>
      <c r="D359" s="2" t="s">
        <v>10</v>
      </c>
      <c r="E359" s="2" t="s">
        <v>34</v>
      </c>
      <c r="F359" s="2">
        <v>13</v>
      </c>
      <c r="G359" s="2">
        <v>6953</v>
      </c>
      <c r="H359" s="2" t="str">
        <f>_xlfn.XLOOKUP(E359, Product_Master!A:A, Product_Master!B:B)</f>
        <v>Jacket</v>
      </c>
      <c r="I359" s="2" t="str">
        <f>_xlfn.XLOOKUP(E359, Product_Master!A:A, Product_Master!C:C)</f>
        <v>Clothing</v>
      </c>
      <c r="J359" s="2">
        <f>_xlfn.XLOOKUP(E359, Product_Master!A:A, Product_Master!D:D)</f>
        <v>1500</v>
      </c>
      <c r="K359" s="2">
        <f t="shared" si="20"/>
        <v>90389</v>
      </c>
      <c r="L359" s="2">
        <f t="shared" si="21"/>
        <v>19500</v>
      </c>
      <c r="M359" s="2">
        <f t="shared" si="22"/>
        <v>70889</v>
      </c>
      <c r="N359" s="2">
        <f>_xlfn.XLOOKUP(D359, Sales_Rep_Master!A:A, Sales_Rep_Master!B:B)</f>
        <v>920000</v>
      </c>
      <c r="O359" s="4">
        <f t="shared" si="23"/>
        <v>9.8248913043478256E-2</v>
      </c>
    </row>
    <row r="360" spans="1:15" ht="15.75" x14ac:dyDescent="0.25">
      <c r="A360" s="3" t="s">
        <v>611</v>
      </c>
      <c r="B360" s="2" t="s">
        <v>509</v>
      </c>
      <c r="C360" s="2" t="s">
        <v>9</v>
      </c>
      <c r="D360" s="2" t="s">
        <v>10</v>
      </c>
      <c r="E360" s="2" t="s">
        <v>28</v>
      </c>
      <c r="F360" s="2">
        <v>12</v>
      </c>
      <c r="G360" s="2">
        <v>5997</v>
      </c>
      <c r="H360" s="2" t="str">
        <f>_xlfn.XLOOKUP(E360, Product_Master!A:A, Product_Master!B:B)</f>
        <v>Laptop</v>
      </c>
      <c r="I360" s="2" t="str">
        <f>_xlfn.XLOOKUP(E360, Product_Master!A:A, Product_Master!C:C)</f>
        <v>Electronics</v>
      </c>
      <c r="J360" s="2">
        <f>_xlfn.XLOOKUP(E360, Product_Master!A:A, Product_Master!D:D)</f>
        <v>35000</v>
      </c>
      <c r="K360" s="2">
        <f t="shared" si="20"/>
        <v>71964</v>
      </c>
      <c r="L360" s="2">
        <f t="shared" si="21"/>
        <v>420000</v>
      </c>
      <c r="M360" s="2">
        <f t="shared" si="22"/>
        <v>-348036</v>
      </c>
      <c r="N360" s="2">
        <f>_xlfn.XLOOKUP(D360, Sales_Rep_Master!A:A, Sales_Rep_Master!B:B)</f>
        <v>920000</v>
      </c>
      <c r="O360" s="4">
        <f t="shared" si="23"/>
        <v>7.8221739130434786E-2</v>
      </c>
    </row>
    <row r="361" spans="1:15" ht="15.75" x14ac:dyDescent="0.25">
      <c r="A361" s="3" t="s">
        <v>612</v>
      </c>
      <c r="B361" s="2" t="s">
        <v>613</v>
      </c>
      <c r="C361" s="2" t="s">
        <v>26</v>
      </c>
      <c r="D361" s="2" t="s">
        <v>54</v>
      </c>
      <c r="E361" s="2" t="s">
        <v>20</v>
      </c>
      <c r="F361" s="2">
        <v>7</v>
      </c>
      <c r="G361" s="2">
        <v>825</v>
      </c>
      <c r="H361" s="2" t="str">
        <f>_xlfn.XLOOKUP(E361, Product_Master!A:A, Product_Master!B:B)</f>
        <v>Headphones</v>
      </c>
      <c r="I361" s="2" t="str">
        <f>_xlfn.XLOOKUP(E361, Product_Master!A:A, Product_Master!C:C)</f>
        <v>Electronics</v>
      </c>
      <c r="J361" s="2">
        <f>_xlfn.XLOOKUP(E361, Product_Master!A:A, Product_Master!D:D)</f>
        <v>2000</v>
      </c>
      <c r="K361" s="2">
        <f t="shared" si="20"/>
        <v>5775</v>
      </c>
      <c r="L361" s="2">
        <f t="shared" si="21"/>
        <v>14000</v>
      </c>
      <c r="M361" s="2">
        <f t="shared" si="22"/>
        <v>-8225</v>
      </c>
      <c r="N361" s="2">
        <f>_xlfn.XLOOKUP(D361, Sales_Rep_Master!A:A, Sales_Rep_Master!B:B)</f>
        <v>890000</v>
      </c>
      <c r="O361" s="4">
        <f t="shared" si="23"/>
        <v>6.4887640449438205E-3</v>
      </c>
    </row>
    <row r="362" spans="1:15" ht="15.75" hidden="1" x14ac:dyDescent="0.25">
      <c r="A362" s="3" t="s">
        <v>614</v>
      </c>
      <c r="B362" s="2" t="s">
        <v>615</v>
      </c>
      <c r="C362" s="2" t="s">
        <v>9</v>
      </c>
      <c r="D362" s="2" t="s">
        <v>54</v>
      </c>
      <c r="E362" s="2" t="s">
        <v>23</v>
      </c>
      <c r="F362" s="2">
        <v>11</v>
      </c>
      <c r="G362" s="2">
        <v>5451</v>
      </c>
      <c r="H362" s="2" t="str">
        <f>_xlfn.XLOOKUP(E362, Product_Master!A:A, Product_Master!B:B)</f>
        <v>Sofa</v>
      </c>
      <c r="I362" s="2" t="str">
        <f>_xlfn.XLOOKUP(E362, Product_Master!A:A, Product_Master!C:C)</f>
        <v>Furniture</v>
      </c>
      <c r="J362" s="2">
        <f>_xlfn.XLOOKUP(E362, Product_Master!A:A, Product_Master!D:D)</f>
        <v>15000</v>
      </c>
      <c r="K362" s="2">
        <f t="shared" si="20"/>
        <v>59961</v>
      </c>
      <c r="L362" s="2">
        <f t="shared" si="21"/>
        <v>165000</v>
      </c>
      <c r="M362" s="2">
        <f t="shared" si="22"/>
        <v>-105039</v>
      </c>
      <c r="N362" s="2">
        <f>_xlfn.XLOOKUP(D362, Sales_Rep_Master!A:A, Sales_Rep_Master!B:B)</f>
        <v>890000</v>
      </c>
      <c r="O362" s="4">
        <f t="shared" si="23"/>
        <v>6.7371910112359545E-2</v>
      </c>
    </row>
    <row r="363" spans="1:15" ht="15.75" x14ac:dyDescent="0.25">
      <c r="A363" s="3" t="s">
        <v>616</v>
      </c>
      <c r="B363" s="2" t="s">
        <v>509</v>
      </c>
      <c r="C363" s="2" t="s">
        <v>33</v>
      </c>
      <c r="D363" s="2" t="s">
        <v>27</v>
      </c>
      <c r="E363" s="2" t="s">
        <v>28</v>
      </c>
      <c r="F363" s="2">
        <v>9</v>
      </c>
      <c r="G363" s="2">
        <v>4066</v>
      </c>
      <c r="H363" s="2" t="str">
        <f>_xlfn.XLOOKUP(E363, Product_Master!A:A, Product_Master!B:B)</f>
        <v>Laptop</v>
      </c>
      <c r="I363" s="2" t="str">
        <f>_xlfn.XLOOKUP(E363, Product_Master!A:A, Product_Master!C:C)</f>
        <v>Electronics</v>
      </c>
      <c r="J363" s="2">
        <f>_xlfn.XLOOKUP(E363, Product_Master!A:A, Product_Master!D:D)</f>
        <v>35000</v>
      </c>
      <c r="K363" s="2">
        <f t="shared" si="20"/>
        <v>36594</v>
      </c>
      <c r="L363" s="2">
        <f t="shared" si="21"/>
        <v>315000</v>
      </c>
      <c r="M363" s="2">
        <f t="shared" si="22"/>
        <v>-278406</v>
      </c>
      <c r="N363" s="2">
        <f>_xlfn.XLOOKUP(D363, Sales_Rep_Master!A:A, Sales_Rep_Master!B:B)</f>
        <v>800000</v>
      </c>
      <c r="O363" s="4">
        <f t="shared" si="23"/>
        <v>4.5742499999999998E-2</v>
      </c>
    </row>
    <row r="364" spans="1:15" ht="15.75" hidden="1" x14ac:dyDescent="0.25">
      <c r="A364" s="3" t="s">
        <v>617</v>
      </c>
      <c r="B364" s="2" t="s">
        <v>338</v>
      </c>
      <c r="C364" s="2" t="s">
        <v>26</v>
      </c>
      <c r="D364" s="2" t="s">
        <v>27</v>
      </c>
      <c r="E364" s="2" t="s">
        <v>23</v>
      </c>
      <c r="F364" s="2">
        <v>9</v>
      </c>
      <c r="G364" s="2">
        <v>3650</v>
      </c>
      <c r="H364" s="2" t="str">
        <f>_xlfn.XLOOKUP(E364, Product_Master!A:A, Product_Master!B:B)</f>
        <v>Sofa</v>
      </c>
      <c r="I364" s="2" t="str">
        <f>_xlfn.XLOOKUP(E364, Product_Master!A:A, Product_Master!C:C)</f>
        <v>Furniture</v>
      </c>
      <c r="J364" s="2">
        <f>_xlfn.XLOOKUP(E364, Product_Master!A:A, Product_Master!D:D)</f>
        <v>15000</v>
      </c>
      <c r="K364" s="2">
        <f t="shared" si="20"/>
        <v>32850</v>
      </c>
      <c r="L364" s="2">
        <f t="shared" si="21"/>
        <v>135000</v>
      </c>
      <c r="M364" s="2">
        <f t="shared" si="22"/>
        <v>-102150</v>
      </c>
      <c r="N364" s="2">
        <f>_xlfn.XLOOKUP(D364, Sales_Rep_Master!A:A, Sales_Rep_Master!B:B)</f>
        <v>800000</v>
      </c>
      <c r="O364" s="4">
        <f t="shared" si="23"/>
        <v>4.1062500000000002E-2</v>
      </c>
    </row>
    <row r="365" spans="1:15" ht="15.75" hidden="1" x14ac:dyDescent="0.25">
      <c r="A365" s="3" t="s">
        <v>618</v>
      </c>
      <c r="B365" s="2" t="s">
        <v>619</v>
      </c>
      <c r="C365" s="2" t="s">
        <v>26</v>
      </c>
      <c r="D365" s="2" t="s">
        <v>10</v>
      </c>
      <c r="E365" s="2" t="s">
        <v>61</v>
      </c>
      <c r="F365" s="2">
        <v>11</v>
      </c>
      <c r="G365" s="2">
        <v>4714</v>
      </c>
      <c r="H365" s="2" t="str">
        <f>_xlfn.XLOOKUP(E365, Product_Master!A:A, Product_Master!B:B)</f>
        <v>Shoes</v>
      </c>
      <c r="I365" s="2" t="str">
        <f>_xlfn.XLOOKUP(E365, Product_Master!A:A, Product_Master!C:C)</f>
        <v>Clothing</v>
      </c>
      <c r="J365" s="2">
        <f>_xlfn.XLOOKUP(E365, Product_Master!A:A, Product_Master!D:D)</f>
        <v>2000</v>
      </c>
      <c r="K365" s="2">
        <f t="shared" si="20"/>
        <v>51854</v>
      </c>
      <c r="L365" s="2">
        <f t="shared" si="21"/>
        <v>22000</v>
      </c>
      <c r="M365" s="2">
        <f t="shared" si="22"/>
        <v>29854</v>
      </c>
      <c r="N365" s="2">
        <f>_xlfn.XLOOKUP(D365, Sales_Rep_Master!A:A, Sales_Rep_Master!B:B)</f>
        <v>920000</v>
      </c>
      <c r="O365" s="4">
        <f t="shared" si="23"/>
        <v>5.636304347826087E-2</v>
      </c>
    </row>
    <row r="366" spans="1:15" ht="15.75" hidden="1" x14ac:dyDescent="0.25">
      <c r="A366" s="3" t="s">
        <v>620</v>
      </c>
      <c r="B366" s="2" t="s">
        <v>428</v>
      </c>
      <c r="C366" s="2" t="s">
        <v>26</v>
      </c>
      <c r="D366" s="2" t="s">
        <v>27</v>
      </c>
      <c r="E366" s="2" t="s">
        <v>40</v>
      </c>
      <c r="F366" s="2">
        <v>11</v>
      </c>
      <c r="G366" s="2">
        <v>5962</v>
      </c>
      <c r="H366" s="2" t="str">
        <f>_xlfn.XLOOKUP(E366, Product_Master!A:A, Product_Master!B:B)</f>
        <v>Table</v>
      </c>
      <c r="I366" s="2" t="str">
        <f>_xlfn.XLOOKUP(E366, Product_Master!A:A, Product_Master!C:C)</f>
        <v>Furniture</v>
      </c>
      <c r="J366" s="2">
        <f>_xlfn.XLOOKUP(E366, Product_Master!A:A, Product_Master!D:D)</f>
        <v>7000</v>
      </c>
      <c r="K366" s="2">
        <f t="shared" si="20"/>
        <v>65582</v>
      </c>
      <c r="L366" s="2">
        <f t="shared" si="21"/>
        <v>77000</v>
      </c>
      <c r="M366" s="2">
        <f t="shared" si="22"/>
        <v>-11418</v>
      </c>
      <c r="N366" s="2">
        <f>_xlfn.XLOOKUP(D366, Sales_Rep_Master!A:A, Sales_Rep_Master!B:B)</f>
        <v>800000</v>
      </c>
      <c r="O366" s="4">
        <f t="shared" si="23"/>
        <v>8.1977499999999995E-2</v>
      </c>
    </row>
    <row r="367" spans="1:15" ht="15.75" hidden="1" x14ac:dyDescent="0.25">
      <c r="A367" s="3" t="s">
        <v>621</v>
      </c>
      <c r="B367" s="2" t="s">
        <v>304</v>
      </c>
      <c r="C367" s="2" t="s">
        <v>18</v>
      </c>
      <c r="D367" s="2" t="s">
        <v>54</v>
      </c>
      <c r="E367" s="2" t="s">
        <v>34</v>
      </c>
      <c r="F367" s="2">
        <v>8</v>
      </c>
      <c r="G367" s="2">
        <v>4319</v>
      </c>
      <c r="H367" s="2" t="str">
        <f>_xlfn.XLOOKUP(E367, Product_Master!A:A, Product_Master!B:B)</f>
        <v>Jacket</v>
      </c>
      <c r="I367" s="2" t="str">
        <f>_xlfn.XLOOKUP(E367, Product_Master!A:A, Product_Master!C:C)</f>
        <v>Clothing</v>
      </c>
      <c r="J367" s="2">
        <f>_xlfn.XLOOKUP(E367, Product_Master!A:A, Product_Master!D:D)</f>
        <v>1500</v>
      </c>
      <c r="K367" s="2">
        <f t="shared" si="20"/>
        <v>34552</v>
      </c>
      <c r="L367" s="2">
        <f t="shared" si="21"/>
        <v>12000</v>
      </c>
      <c r="M367" s="2">
        <f t="shared" si="22"/>
        <v>22552</v>
      </c>
      <c r="N367" s="2">
        <f>_xlfn.XLOOKUP(D367, Sales_Rep_Master!A:A, Sales_Rep_Master!B:B)</f>
        <v>890000</v>
      </c>
      <c r="O367" s="4">
        <f t="shared" si="23"/>
        <v>3.8822471910112358E-2</v>
      </c>
    </row>
    <row r="368" spans="1:15" ht="15.75" hidden="1" x14ac:dyDescent="0.25">
      <c r="A368" s="3" t="s">
        <v>622</v>
      </c>
      <c r="B368" s="2" t="s">
        <v>22</v>
      </c>
      <c r="C368" s="2" t="s">
        <v>9</v>
      </c>
      <c r="D368" s="2" t="s">
        <v>14</v>
      </c>
      <c r="E368" s="2" t="s">
        <v>61</v>
      </c>
      <c r="F368" s="2">
        <v>15</v>
      </c>
      <c r="G368" s="2">
        <v>5470</v>
      </c>
      <c r="H368" s="2" t="str">
        <f>_xlfn.XLOOKUP(E368, Product_Master!A:A, Product_Master!B:B)</f>
        <v>Shoes</v>
      </c>
      <c r="I368" s="2" t="str">
        <f>_xlfn.XLOOKUP(E368, Product_Master!A:A, Product_Master!C:C)</f>
        <v>Clothing</v>
      </c>
      <c r="J368" s="2">
        <f>_xlfn.XLOOKUP(E368, Product_Master!A:A, Product_Master!D:D)</f>
        <v>2000</v>
      </c>
      <c r="K368" s="2">
        <f t="shared" si="20"/>
        <v>82050</v>
      </c>
      <c r="L368" s="2">
        <f t="shared" si="21"/>
        <v>30000</v>
      </c>
      <c r="M368" s="2">
        <f t="shared" si="22"/>
        <v>52050</v>
      </c>
      <c r="N368" s="2">
        <f>_xlfn.XLOOKUP(D368, Sales_Rep_Master!A:A, Sales_Rep_Master!B:B)</f>
        <v>880000</v>
      </c>
      <c r="O368" s="4">
        <f t="shared" si="23"/>
        <v>9.3238636363636357E-2</v>
      </c>
    </row>
    <row r="369" spans="1:15" ht="15.75" hidden="1" x14ac:dyDescent="0.25">
      <c r="A369" s="3" t="s">
        <v>623</v>
      </c>
      <c r="B369" s="2" t="s">
        <v>44</v>
      </c>
      <c r="C369" s="2" t="s">
        <v>33</v>
      </c>
      <c r="D369" s="2" t="s">
        <v>37</v>
      </c>
      <c r="E369" s="2" t="s">
        <v>61</v>
      </c>
      <c r="F369" s="2">
        <v>5</v>
      </c>
      <c r="G369" s="2">
        <v>7759</v>
      </c>
      <c r="H369" s="2" t="str">
        <f>_xlfn.XLOOKUP(E369, Product_Master!A:A, Product_Master!B:B)</f>
        <v>Shoes</v>
      </c>
      <c r="I369" s="2" t="str">
        <f>_xlfn.XLOOKUP(E369, Product_Master!A:A, Product_Master!C:C)</f>
        <v>Clothing</v>
      </c>
      <c r="J369" s="2">
        <f>_xlfn.XLOOKUP(E369, Product_Master!A:A, Product_Master!D:D)</f>
        <v>2000</v>
      </c>
      <c r="K369" s="2">
        <f t="shared" si="20"/>
        <v>38795</v>
      </c>
      <c r="L369" s="2">
        <f t="shared" si="21"/>
        <v>10000</v>
      </c>
      <c r="M369" s="2">
        <f t="shared" si="22"/>
        <v>28795</v>
      </c>
      <c r="N369" s="2">
        <f>_xlfn.XLOOKUP(D369, Sales_Rep_Master!A:A, Sales_Rep_Master!B:B)</f>
        <v>850000</v>
      </c>
      <c r="O369" s="4">
        <f t="shared" si="23"/>
        <v>4.5641176470588234E-2</v>
      </c>
    </row>
    <row r="370" spans="1:15" ht="15.75" x14ac:dyDescent="0.25">
      <c r="A370" s="3" t="s">
        <v>624</v>
      </c>
      <c r="B370" s="2" t="s">
        <v>366</v>
      </c>
      <c r="C370" s="2" t="s">
        <v>9</v>
      </c>
      <c r="D370" s="2" t="s">
        <v>14</v>
      </c>
      <c r="E370" s="2" t="s">
        <v>20</v>
      </c>
      <c r="F370" s="2">
        <v>8</v>
      </c>
      <c r="G370" s="2">
        <v>2856</v>
      </c>
      <c r="H370" s="2" t="str">
        <f>_xlfn.XLOOKUP(E370, Product_Master!A:A, Product_Master!B:B)</f>
        <v>Headphones</v>
      </c>
      <c r="I370" s="2" t="str">
        <f>_xlfn.XLOOKUP(E370, Product_Master!A:A, Product_Master!C:C)</f>
        <v>Electronics</v>
      </c>
      <c r="J370" s="2">
        <f>_xlfn.XLOOKUP(E370, Product_Master!A:A, Product_Master!D:D)</f>
        <v>2000</v>
      </c>
      <c r="K370" s="2">
        <f t="shared" si="20"/>
        <v>22848</v>
      </c>
      <c r="L370" s="2">
        <f t="shared" si="21"/>
        <v>16000</v>
      </c>
      <c r="M370" s="2">
        <f t="shared" si="22"/>
        <v>6848</v>
      </c>
      <c r="N370" s="2">
        <f>_xlfn.XLOOKUP(D370, Sales_Rep_Master!A:A, Sales_Rep_Master!B:B)</f>
        <v>880000</v>
      </c>
      <c r="O370" s="4">
        <f t="shared" si="23"/>
        <v>2.5963636363636362E-2</v>
      </c>
    </row>
    <row r="371" spans="1:15" ht="15.75" hidden="1" x14ac:dyDescent="0.25">
      <c r="A371" s="3" t="s">
        <v>625</v>
      </c>
      <c r="B371" s="2" t="s">
        <v>626</v>
      </c>
      <c r="C371" s="2" t="s">
        <v>26</v>
      </c>
      <c r="D371" s="2" t="s">
        <v>27</v>
      </c>
      <c r="E371" s="2" t="s">
        <v>15</v>
      </c>
      <c r="F371" s="2">
        <v>14</v>
      </c>
      <c r="G371" s="2">
        <v>3289</v>
      </c>
      <c r="H371" s="2" t="str">
        <f>_xlfn.XLOOKUP(E371, Product_Master!A:A, Product_Master!B:B)</f>
        <v>Chair</v>
      </c>
      <c r="I371" s="2" t="str">
        <f>_xlfn.XLOOKUP(E371, Product_Master!A:A, Product_Master!C:C)</f>
        <v>Furniture</v>
      </c>
      <c r="J371" s="2">
        <f>_xlfn.XLOOKUP(E371, Product_Master!A:A, Product_Master!D:D)</f>
        <v>2500</v>
      </c>
      <c r="K371" s="2">
        <f t="shared" si="20"/>
        <v>46046</v>
      </c>
      <c r="L371" s="2">
        <f t="shared" si="21"/>
        <v>35000</v>
      </c>
      <c r="M371" s="2">
        <f t="shared" si="22"/>
        <v>11046</v>
      </c>
      <c r="N371" s="2">
        <f>_xlfn.XLOOKUP(D371, Sales_Rep_Master!A:A, Sales_Rep_Master!B:B)</f>
        <v>800000</v>
      </c>
      <c r="O371" s="4">
        <f t="shared" si="23"/>
        <v>5.7557499999999998E-2</v>
      </c>
    </row>
    <row r="372" spans="1:15" ht="15.75" hidden="1" x14ac:dyDescent="0.25">
      <c r="A372" s="3" t="s">
        <v>627</v>
      </c>
      <c r="B372" s="2" t="s">
        <v>628</v>
      </c>
      <c r="C372" s="2" t="s">
        <v>9</v>
      </c>
      <c r="D372" s="2" t="s">
        <v>10</v>
      </c>
      <c r="E372" s="2" t="s">
        <v>34</v>
      </c>
      <c r="F372" s="2">
        <v>15</v>
      </c>
      <c r="G372" s="2">
        <v>3088</v>
      </c>
      <c r="H372" s="2" t="str">
        <f>_xlfn.XLOOKUP(E372, Product_Master!A:A, Product_Master!B:B)</f>
        <v>Jacket</v>
      </c>
      <c r="I372" s="2" t="str">
        <f>_xlfn.XLOOKUP(E372, Product_Master!A:A, Product_Master!C:C)</f>
        <v>Clothing</v>
      </c>
      <c r="J372" s="2">
        <f>_xlfn.XLOOKUP(E372, Product_Master!A:A, Product_Master!D:D)</f>
        <v>1500</v>
      </c>
      <c r="K372" s="2">
        <f t="shared" si="20"/>
        <v>46320</v>
      </c>
      <c r="L372" s="2">
        <f t="shared" si="21"/>
        <v>22500</v>
      </c>
      <c r="M372" s="2">
        <f t="shared" si="22"/>
        <v>23820</v>
      </c>
      <c r="N372" s="2">
        <f>_xlfn.XLOOKUP(D372, Sales_Rep_Master!A:A, Sales_Rep_Master!B:B)</f>
        <v>920000</v>
      </c>
      <c r="O372" s="4">
        <f t="shared" si="23"/>
        <v>5.0347826086956524E-2</v>
      </c>
    </row>
    <row r="373" spans="1:15" ht="15.75" x14ac:dyDescent="0.25">
      <c r="A373" s="3" t="s">
        <v>629</v>
      </c>
      <c r="B373" s="2" t="s">
        <v>630</v>
      </c>
      <c r="C373" s="2" t="s">
        <v>18</v>
      </c>
      <c r="D373" s="2" t="s">
        <v>14</v>
      </c>
      <c r="E373" s="2" t="s">
        <v>20</v>
      </c>
      <c r="F373" s="2">
        <v>7</v>
      </c>
      <c r="G373" s="2">
        <v>1265</v>
      </c>
      <c r="H373" s="2" t="str">
        <f>_xlfn.XLOOKUP(E373, Product_Master!A:A, Product_Master!B:B)</f>
        <v>Headphones</v>
      </c>
      <c r="I373" s="2" t="str">
        <f>_xlfn.XLOOKUP(E373, Product_Master!A:A, Product_Master!C:C)</f>
        <v>Electronics</v>
      </c>
      <c r="J373" s="2">
        <f>_xlfn.XLOOKUP(E373, Product_Master!A:A, Product_Master!D:D)</f>
        <v>2000</v>
      </c>
      <c r="K373" s="2">
        <f t="shared" si="20"/>
        <v>8855</v>
      </c>
      <c r="L373" s="2">
        <f t="shared" si="21"/>
        <v>14000</v>
      </c>
      <c r="M373" s="2">
        <f t="shared" si="22"/>
        <v>-5145</v>
      </c>
      <c r="N373" s="2">
        <f>_xlfn.XLOOKUP(D373, Sales_Rep_Master!A:A, Sales_Rep_Master!B:B)</f>
        <v>880000</v>
      </c>
      <c r="O373" s="4">
        <f t="shared" si="23"/>
        <v>1.00625E-2</v>
      </c>
    </row>
    <row r="374" spans="1:15" ht="15.75" x14ac:dyDescent="0.25">
      <c r="A374" s="3" t="s">
        <v>631</v>
      </c>
      <c r="B374" s="2" t="s">
        <v>243</v>
      </c>
      <c r="C374" s="2" t="s">
        <v>9</v>
      </c>
      <c r="D374" s="2" t="s">
        <v>14</v>
      </c>
      <c r="E374" s="2" t="s">
        <v>11</v>
      </c>
      <c r="F374" s="2">
        <v>2</v>
      </c>
      <c r="G374" s="2">
        <v>7465</v>
      </c>
      <c r="H374" s="2" t="str">
        <f>_xlfn.XLOOKUP(E374, Product_Master!A:A, Product_Master!B:B)</f>
        <v>Mobile</v>
      </c>
      <c r="I374" s="2" t="str">
        <f>_xlfn.XLOOKUP(E374, Product_Master!A:A, Product_Master!C:C)</f>
        <v>Electronics</v>
      </c>
      <c r="J374" s="2">
        <f>_xlfn.XLOOKUP(E374, Product_Master!A:A, Product_Master!D:D)</f>
        <v>18000</v>
      </c>
      <c r="K374" s="2">
        <f t="shared" si="20"/>
        <v>14930</v>
      </c>
      <c r="L374" s="2">
        <f t="shared" si="21"/>
        <v>36000</v>
      </c>
      <c r="M374" s="2">
        <f t="shared" si="22"/>
        <v>-21070</v>
      </c>
      <c r="N374" s="2">
        <f>_xlfn.XLOOKUP(D374, Sales_Rep_Master!A:A, Sales_Rep_Master!B:B)</f>
        <v>880000</v>
      </c>
      <c r="O374" s="4">
        <f t="shared" si="23"/>
        <v>1.6965909090909091E-2</v>
      </c>
    </row>
    <row r="375" spans="1:15" ht="15.75" hidden="1" x14ac:dyDescent="0.25">
      <c r="A375" s="3" t="s">
        <v>632</v>
      </c>
      <c r="B375" s="2" t="s">
        <v>325</v>
      </c>
      <c r="C375" s="2" t="s">
        <v>9</v>
      </c>
      <c r="D375" s="2" t="s">
        <v>19</v>
      </c>
      <c r="E375" s="2" t="s">
        <v>34</v>
      </c>
      <c r="F375" s="2">
        <v>6</v>
      </c>
      <c r="G375" s="2">
        <v>7980</v>
      </c>
      <c r="H375" s="2" t="str">
        <f>_xlfn.XLOOKUP(E375, Product_Master!A:A, Product_Master!B:B)</f>
        <v>Jacket</v>
      </c>
      <c r="I375" s="2" t="str">
        <f>_xlfn.XLOOKUP(E375, Product_Master!A:A, Product_Master!C:C)</f>
        <v>Clothing</v>
      </c>
      <c r="J375" s="2">
        <f>_xlfn.XLOOKUP(E375, Product_Master!A:A, Product_Master!D:D)</f>
        <v>1500</v>
      </c>
      <c r="K375" s="2">
        <f t="shared" si="20"/>
        <v>47880</v>
      </c>
      <c r="L375" s="2">
        <f t="shared" si="21"/>
        <v>9000</v>
      </c>
      <c r="M375" s="2">
        <f t="shared" si="22"/>
        <v>38880</v>
      </c>
      <c r="N375" s="2">
        <f>_xlfn.XLOOKUP(D375, Sales_Rep_Master!A:A, Sales_Rep_Master!B:B)</f>
        <v>950000</v>
      </c>
      <c r="O375" s="4">
        <f t="shared" si="23"/>
        <v>5.04E-2</v>
      </c>
    </row>
    <row r="376" spans="1:15" ht="15.75" hidden="1" x14ac:dyDescent="0.25">
      <c r="A376" s="3" t="s">
        <v>633</v>
      </c>
      <c r="B376" s="2" t="s">
        <v>204</v>
      </c>
      <c r="C376" s="2" t="s">
        <v>18</v>
      </c>
      <c r="D376" s="2" t="s">
        <v>14</v>
      </c>
      <c r="E376" s="2" t="s">
        <v>15</v>
      </c>
      <c r="F376" s="2">
        <v>5</v>
      </c>
      <c r="G376" s="2">
        <v>3838</v>
      </c>
      <c r="H376" s="2" t="str">
        <f>_xlfn.XLOOKUP(E376, Product_Master!A:A, Product_Master!B:B)</f>
        <v>Chair</v>
      </c>
      <c r="I376" s="2" t="str">
        <f>_xlfn.XLOOKUP(E376, Product_Master!A:A, Product_Master!C:C)</f>
        <v>Furniture</v>
      </c>
      <c r="J376" s="2">
        <f>_xlfn.XLOOKUP(E376, Product_Master!A:A, Product_Master!D:D)</f>
        <v>2500</v>
      </c>
      <c r="K376" s="2">
        <f t="shared" si="20"/>
        <v>19190</v>
      </c>
      <c r="L376" s="2">
        <f t="shared" si="21"/>
        <v>12500</v>
      </c>
      <c r="M376" s="2">
        <f t="shared" si="22"/>
        <v>6690</v>
      </c>
      <c r="N376" s="2">
        <f>_xlfn.XLOOKUP(D376, Sales_Rep_Master!A:A, Sales_Rep_Master!B:B)</f>
        <v>880000</v>
      </c>
      <c r="O376" s="4">
        <f t="shared" si="23"/>
        <v>2.1806818181818181E-2</v>
      </c>
    </row>
    <row r="377" spans="1:15" ht="15.75" hidden="1" x14ac:dyDescent="0.25">
      <c r="A377" s="3" t="s">
        <v>634</v>
      </c>
      <c r="B377" s="2" t="s">
        <v>635</v>
      </c>
      <c r="C377" s="2" t="s">
        <v>26</v>
      </c>
      <c r="D377" s="2" t="s">
        <v>37</v>
      </c>
      <c r="E377" s="2" t="s">
        <v>15</v>
      </c>
      <c r="F377" s="2">
        <v>6</v>
      </c>
      <c r="G377" s="2">
        <v>3397</v>
      </c>
      <c r="H377" s="2" t="str">
        <f>_xlfn.XLOOKUP(E377, Product_Master!A:A, Product_Master!B:B)</f>
        <v>Chair</v>
      </c>
      <c r="I377" s="2" t="str">
        <f>_xlfn.XLOOKUP(E377, Product_Master!A:A, Product_Master!C:C)</f>
        <v>Furniture</v>
      </c>
      <c r="J377" s="2">
        <f>_xlfn.XLOOKUP(E377, Product_Master!A:A, Product_Master!D:D)</f>
        <v>2500</v>
      </c>
      <c r="K377" s="2">
        <f t="shared" si="20"/>
        <v>20382</v>
      </c>
      <c r="L377" s="2">
        <f t="shared" si="21"/>
        <v>15000</v>
      </c>
      <c r="M377" s="2">
        <f t="shared" si="22"/>
        <v>5382</v>
      </c>
      <c r="N377" s="2">
        <f>_xlfn.XLOOKUP(D377, Sales_Rep_Master!A:A, Sales_Rep_Master!B:B)</f>
        <v>850000</v>
      </c>
      <c r="O377" s="4">
        <f t="shared" si="23"/>
        <v>2.3978823529411764E-2</v>
      </c>
    </row>
    <row r="378" spans="1:15" ht="15.75" hidden="1" x14ac:dyDescent="0.25">
      <c r="A378" s="3" t="s">
        <v>636</v>
      </c>
      <c r="B378" s="2" t="s">
        <v>637</v>
      </c>
      <c r="C378" s="2" t="s">
        <v>26</v>
      </c>
      <c r="D378" s="2" t="s">
        <v>10</v>
      </c>
      <c r="E378" s="2" t="s">
        <v>23</v>
      </c>
      <c r="F378" s="2">
        <v>8</v>
      </c>
      <c r="G378" s="2">
        <v>6347</v>
      </c>
      <c r="H378" s="2" t="str">
        <f>_xlfn.XLOOKUP(E378, Product_Master!A:A, Product_Master!B:B)</f>
        <v>Sofa</v>
      </c>
      <c r="I378" s="2" t="str">
        <f>_xlfn.XLOOKUP(E378, Product_Master!A:A, Product_Master!C:C)</f>
        <v>Furniture</v>
      </c>
      <c r="J378" s="2">
        <f>_xlfn.XLOOKUP(E378, Product_Master!A:A, Product_Master!D:D)</f>
        <v>15000</v>
      </c>
      <c r="K378" s="2">
        <f t="shared" si="20"/>
        <v>50776</v>
      </c>
      <c r="L378" s="2">
        <f t="shared" si="21"/>
        <v>120000</v>
      </c>
      <c r="M378" s="2">
        <f t="shared" si="22"/>
        <v>-69224</v>
      </c>
      <c r="N378" s="2">
        <f>_xlfn.XLOOKUP(D378, Sales_Rep_Master!A:A, Sales_Rep_Master!B:B)</f>
        <v>920000</v>
      </c>
      <c r="O378" s="4">
        <f t="shared" si="23"/>
        <v>5.5191304347826084E-2</v>
      </c>
    </row>
    <row r="379" spans="1:15" ht="15.75" hidden="1" x14ac:dyDescent="0.25">
      <c r="A379" s="3" t="s">
        <v>638</v>
      </c>
      <c r="B379" s="2" t="s">
        <v>100</v>
      </c>
      <c r="C379" s="2" t="s">
        <v>33</v>
      </c>
      <c r="D379" s="2" t="s">
        <v>54</v>
      </c>
      <c r="E379" s="2" t="s">
        <v>34</v>
      </c>
      <c r="F379" s="2">
        <v>5</v>
      </c>
      <c r="G379" s="2">
        <v>1856</v>
      </c>
      <c r="H379" s="2" t="str">
        <f>_xlfn.XLOOKUP(E379, Product_Master!A:A, Product_Master!B:B)</f>
        <v>Jacket</v>
      </c>
      <c r="I379" s="2" t="str">
        <f>_xlfn.XLOOKUP(E379, Product_Master!A:A, Product_Master!C:C)</f>
        <v>Clothing</v>
      </c>
      <c r="J379" s="2">
        <f>_xlfn.XLOOKUP(E379, Product_Master!A:A, Product_Master!D:D)</f>
        <v>1500</v>
      </c>
      <c r="K379" s="2">
        <f t="shared" si="20"/>
        <v>9280</v>
      </c>
      <c r="L379" s="2">
        <f t="shared" si="21"/>
        <v>7500</v>
      </c>
      <c r="M379" s="2">
        <f t="shared" si="22"/>
        <v>1780</v>
      </c>
      <c r="N379" s="2">
        <f>_xlfn.XLOOKUP(D379, Sales_Rep_Master!A:A, Sales_Rep_Master!B:B)</f>
        <v>890000</v>
      </c>
      <c r="O379" s="4">
        <f t="shared" si="23"/>
        <v>1.0426966292134831E-2</v>
      </c>
    </row>
    <row r="380" spans="1:15" ht="15.75" x14ac:dyDescent="0.25">
      <c r="A380" s="3" t="s">
        <v>639</v>
      </c>
      <c r="B380" s="2" t="s">
        <v>640</v>
      </c>
      <c r="C380" s="2" t="s">
        <v>33</v>
      </c>
      <c r="D380" s="2" t="s">
        <v>19</v>
      </c>
      <c r="E380" s="2" t="s">
        <v>20</v>
      </c>
      <c r="F380" s="2">
        <v>11</v>
      </c>
      <c r="G380" s="2">
        <v>6460</v>
      </c>
      <c r="H380" s="2" t="str">
        <f>_xlfn.XLOOKUP(E380, Product_Master!A:A, Product_Master!B:B)</f>
        <v>Headphones</v>
      </c>
      <c r="I380" s="2" t="str">
        <f>_xlfn.XLOOKUP(E380, Product_Master!A:A, Product_Master!C:C)</f>
        <v>Electronics</v>
      </c>
      <c r="J380" s="2">
        <f>_xlfn.XLOOKUP(E380, Product_Master!A:A, Product_Master!D:D)</f>
        <v>2000</v>
      </c>
      <c r="K380" s="2">
        <f t="shared" si="20"/>
        <v>71060</v>
      </c>
      <c r="L380" s="2">
        <f t="shared" si="21"/>
        <v>22000</v>
      </c>
      <c r="M380" s="2">
        <f t="shared" si="22"/>
        <v>49060</v>
      </c>
      <c r="N380" s="2">
        <f>_xlfn.XLOOKUP(D380, Sales_Rep_Master!A:A, Sales_Rep_Master!B:B)</f>
        <v>950000</v>
      </c>
      <c r="O380" s="4">
        <f t="shared" si="23"/>
        <v>7.4800000000000005E-2</v>
      </c>
    </row>
    <row r="381" spans="1:15" ht="15.75" hidden="1" x14ac:dyDescent="0.25">
      <c r="A381" s="3" t="s">
        <v>641</v>
      </c>
      <c r="B381" s="2" t="s">
        <v>89</v>
      </c>
      <c r="C381" s="2" t="s">
        <v>26</v>
      </c>
      <c r="D381" s="2" t="s">
        <v>152</v>
      </c>
      <c r="E381" s="2" t="s">
        <v>34</v>
      </c>
      <c r="F381" s="2">
        <v>15</v>
      </c>
      <c r="G381" s="2">
        <v>4140</v>
      </c>
      <c r="H381" s="2" t="str">
        <f>_xlfn.XLOOKUP(E381, Product_Master!A:A, Product_Master!B:B)</f>
        <v>Jacket</v>
      </c>
      <c r="I381" s="2" t="str">
        <f>_xlfn.XLOOKUP(E381, Product_Master!A:A, Product_Master!C:C)</f>
        <v>Clothing</v>
      </c>
      <c r="J381" s="2">
        <f>_xlfn.XLOOKUP(E381, Product_Master!A:A, Product_Master!D:D)</f>
        <v>1500</v>
      </c>
      <c r="K381" s="2">
        <f t="shared" si="20"/>
        <v>62100</v>
      </c>
      <c r="L381" s="2">
        <f t="shared" si="21"/>
        <v>22500</v>
      </c>
      <c r="M381" s="2">
        <f t="shared" si="22"/>
        <v>39600</v>
      </c>
      <c r="N381" s="2">
        <f>_xlfn.XLOOKUP(D381, Sales_Rep_Master!A:A, Sales_Rep_Master!B:B)</f>
        <v>870000</v>
      </c>
      <c r="O381" s="4">
        <f t="shared" si="23"/>
        <v>7.1379310344827585E-2</v>
      </c>
    </row>
    <row r="382" spans="1:15" ht="15.75" hidden="1" x14ac:dyDescent="0.25">
      <c r="A382" s="3" t="s">
        <v>642</v>
      </c>
      <c r="B382" s="2" t="s">
        <v>289</v>
      </c>
      <c r="C382" s="2" t="s">
        <v>18</v>
      </c>
      <c r="D382" s="2" t="s">
        <v>51</v>
      </c>
      <c r="E382" s="2" t="s">
        <v>40</v>
      </c>
      <c r="F382" s="2">
        <v>4</v>
      </c>
      <c r="G382" s="2">
        <v>7272</v>
      </c>
      <c r="H382" s="2" t="str">
        <f>_xlfn.XLOOKUP(E382, Product_Master!A:A, Product_Master!B:B)</f>
        <v>Table</v>
      </c>
      <c r="I382" s="2" t="str">
        <f>_xlfn.XLOOKUP(E382, Product_Master!A:A, Product_Master!C:C)</f>
        <v>Furniture</v>
      </c>
      <c r="J382" s="2">
        <f>_xlfn.XLOOKUP(E382, Product_Master!A:A, Product_Master!D:D)</f>
        <v>7000</v>
      </c>
      <c r="K382" s="2">
        <f t="shared" si="20"/>
        <v>29088</v>
      </c>
      <c r="L382" s="2">
        <f t="shared" si="21"/>
        <v>28000</v>
      </c>
      <c r="M382" s="2">
        <f t="shared" si="22"/>
        <v>1088</v>
      </c>
      <c r="N382" s="2">
        <f>_xlfn.XLOOKUP(D382, Sales_Rep_Master!A:A, Sales_Rep_Master!B:B)</f>
        <v>900000</v>
      </c>
      <c r="O382" s="4">
        <f t="shared" si="23"/>
        <v>3.2320000000000002E-2</v>
      </c>
    </row>
    <row r="383" spans="1:15" ht="15.75" hidden="1" x14ac:dyDescent="0.25">
      <c r="A383" s="3" t="s">
        <v>643</v>
      </c>
      <c r="B383" s="2" t="s">
        <v>201</v>
      </c>
      <c r="C383" s="2" t="s">
        <v>33</v>
      </c>
      <c r="D383" s="2" t="s">
        <v>54</v>
      </c>
      <c r="E383" s="2" t="s">
        <v>40</v>
      </c>
      <c r="F383" s="2">
        <v>11</v>
      </c>
      <c r="G383" s="2">
        <v>7920</v>
      </c>
      <c r="H383" s="2" t="str">
        <f>_xlfn.XLOOKUP(E383, Product_Master!A:A, Product_Master!B:B)</f>
        <v>Table</v>
      </c>
      <c r="I383" s="2" t="str">
        <f>_xlfn.XLOOKUP(E383, Product_Master!A:A, Product_Master!C:C)</f>
        <v>Furniture</v>
      </c>
      <c r="J383" s="2">
        <f>_xlfn.XLOOKUP(E383, Product_Master!A:A, Product_Master!D:D)</f>
        <v>7000</v>
      </c>
      <c r="K383" s="2">
        <f t="shared" si="20"/>
        <v>87120</v>
      </c>
      <c r="L383" s="2">
        <f t="shared" si="21"/>
        <v>77000</v>
      </c>
      <c r="M383" s="2">
        <f t="shared" si="22"/>
        <v>10120</v>
      </c>
      <c r="N383" s="2">
        <f>_xlfn.XLOOKUP(D383, Sales_Rep_Master!A:A, Sales_Rep_Master!B:B)</f>
        <v>890000</v>
      </c>
      <c r="O383" s="4">
        <f t="shared" si="23"/>
        <v>9.7887640449438207E-2</v>
      </c>
    </row>
    <row r="384" spans="1:15" ht="15.75" x14ac:dyDescent="0.25">
      <c r="A384" s="3" t="s">
        <v>644</v>
      </c>
      <c r="B384" s="2" t="s">
        <v>44</v>
      </c>
      <c r="C384" s="2" t="s">
        <v>18</v>
      </c>
      <c r="D384" s="2" t="s">
        <v>19</v>
      </c>
      <c r="E384" s="2" t="s">
        <v>20</v>
      </c>
      <c r="F384" s="2">
        <v>14</v>
      </c>
      <c r="G384" s="2">
        <v>7528</v>
      </c>
      <c r="H384" s="2" t="str">
        <f>_xlfn.XLOOKUP(E384, Product_Master!A:A, Product_Master!B:B)</f>
        <v>Headphones</v>
      </c>
      <c r="I384" s="2" t="str">
        <f>_xlfn.XLOOKUP(E384, Product_Master!A:A, Product_Master!C:C)</f>
        <v>Electronics</v>
      </c>
      <c r="J384" s="2">
        <f>_xlfn.XLOOKUP(E384, Product_Master!A:A, Product_Master!D:D)</f>
        <v>2000</v>
      </c>
      <c r="K384" s="2">
        <f t="shared" si="20"/>
        <v>105392</v>
      </c>
      <c r="L384" s="2">
        <f t="shared" si="21"/>
        <v>28000</v>
      </c>
      <c r="M384" s="2">
        <f t="shared" si="22"/>
        <v>77392</v>
      </c>
      <c r="N384" s="2">
        <f>_xlfn.XLOOKUP(D384, Sales_Rep_Master!A:A, Sales_Rep_Master!B:B)</f>
        <v>950000</v>
      </c>
      <c r="O384" s="4">
        <f t="shared" si="23"/>
        <v>0.11093894736842105</v>
      </c>
    </row>
    <row r="385" spans="1:15" ht="15.75" hidden="1" x14ac:dyDescent="0.25">
      <c r="A385" s="3" t="s">
        <v>645</v>
      </c>
      <c r="B385" s="2" t="s">
        <v>534</v>
      </c>
      <c r="C385" s="2" t="s">
        <v>9</v>
      </c>
      <c r="D385" s="2" t="s">
        <v>37</v>
      </c>
      <c r="E385" s="2" t="s">
        <v>15</v>
      </c>
      <c r="F385" s="2">
        <v>9</v>
      </c>
      <c r="G385" s="2">
        <v>4662</v>
      </c>
      <c r="H385" s="2" t="str">
        <f>_xlfn.XLOOKUP(E385, Product_Master!A:A, Product_Master!B:B)</f>
        <v>Chair</v>
      </c>
      <c r="I385" s="2" t="str">
        <f>_xlfn.XLOOKUP(E385, Product_Master!A:A, Product_Master!C:C)</f>
        <v>Furniture</v>
      </c>
      <c r="J385" s="2">
        <f>_xlfn.XLOOKUP(E385, Product_Master!A:A, Product_Master!D:D)</f>
        <v>2500</v>
      </c>
      <c r="K385" s="2">
        <f t="shared" si="20"/>
        <v>41958</v>
      </c>
      <c r="L385" s="2">
        <f t="shared" si="21"/>
        <v>22500</v>
      </c>
      <c r="M385" s="2">
        <f t="shared" si="22"/>
        <v>19458</v>
      </c>
      <c r="N385" s="2">
        <f>_xlfn.XLOOKUP(D385, Sales_Rep_Master!A:A, Sales_Rep_Master!B:B)</f>
        <v>850000</v>
      </c>
      <c r="O385" s="4">
        <f t="shared" si="23"/>
        <v>4.9362352941176468E-2</v>
      </c>
    </row>
    <row r="386" spans="1:15" ht="15.75" hidden="1" x14ac:dyDescent="0.25">
      <c r="A386" s="3" t="s">
        <v>646</v>
      </c>
      <c r="B386" s="2" t="s">
        <v>108</v>
      </c>
      <c r="C386" s="2" t="s">
        <v>18</v>
      </c>
      <c r="D386" s="2" t="s">
        <v>54</v>
      </c>
      <c r="E386" s="2" t="s">
        <v>61</v>
      </c>
      <c r="F386" s="2">
        <v>4</v>
      </c>
      <c r="G386" s="2">
        <v>5893</v>
      </c>
      <c r="H386" s="2" t="str">
        <f>_xlfn.XLOOKUP(E386, Product_Master!A:A, Product_Master!B:B)</f>
        <v>Shoes</v>
      </c>
      <c r="I386" s="2" t="str">
        <f>_xlfn.XLOOKUP(E386, Product_Master!A:A, Product_Master!C:C)</f>
        <v>Clothing</v>
      </c>
      <c r="J386" s="2">
        <f>_xlfn.XLOOKUP(E386, Product_Master!A:A, Product_Master!D:D)</f>
        <v>2000</v>
      </c>
      <c r="K386" s="2">
        <f t="shared" ref="K386:K449" si="24">F386*G386</f>
        <v>23572</v>
      </c>
      <c r="L386" s="2">
        <f t="shared" ref="L386:L449" si="25">F386*J386</f>
        <v>8000</v>
      </c>
      <c r="M386" s="2">
        <f t="shared" ref="M386:M449" si="26">K386-L386</f>
        <v>15572</v>
      </c>
      <c r="N386" s="2">
        <f>_xlfn.XLOOKUP(D386, Sales_Rep_Master!A:A, Sales_Rep_Master!B:B)</f>
        <v>890000</v>
      </c>
      <c r="O386" s="4">
        <f t="shared" ref="O386:O449" si="27">K386/N386</f>
        <v>2.6485393258426967E-2</v>
      </c>
    </row>
    <row r="387" spans="1:15" ht="15.75" x14ac:dyDescent="0.25">
      <c r="A387" s="3" t="s">
        <v>647</v>
      </c>
      <c r="B387" s="2" t="s">
        <v>151</v>
      </c>
      <c r="C387" s="2" t="s">
        <v>9</v>
      </c>
      <c r="D387" s="2" t="s">
        <v>14</v>
      </c>
      <c r="E387" s="2" t="s">
        <v>20</v>
      </c>
      <c r="F387" s="2">
        <v>14</v>
      </c>
      <c r="G387" s="2">
        <v>5834</v>
      </c>
      <c r="H387" s="2" t="str">
        <f>_xlfn.XLOOKUP(E387, Product_Master!A:A, Product_Master!B:B)</f>
        <v>Headphones</v>
      </c>
      <c r="I387" s="2" t="str">
        <f>_xlfn.XLOOKUP(E387, Product_Master!A:A, Product_Master!C:C)</f>
        <v>Electronics</v>
      </c>
      <c r="J387" s="2">
        <f>_xlfn.XLOOKUP(E387, Product_Master!A:A, Product_Master!D:D)</f>
        <v>2000</v>
      </c>
      <c r="K387" s="2">
        <f t="shared" si="24"/>
        <v>81676</v>
      </c>
      <c r="L387" s="2">
        <f t="shared" si="25"/>
        <v>28000</v>
      </c>
      <c r="M387" s="2">
        <f t="shared" si="26"/>
        <v>53676</v>
      </c>
      <c r="N387" s="2">
        <f>_xlfn.XLOOKUP(D387, Sales_Rep_Master!A:A, Sales_Rep_Master!B:B)</f>
        <v>880000</v>
      </c>
      <c r="O387" s="4">
        <f t="shared" si="27"/>
        <v>9.2813636363636362E-2</v>
      </c>
    </row>
    <row r="388" spans="1:15" ht="15.75" x14ac:dyDescent="0.25">
      <c r="A388" s="3" t="s">
        <v>648</v>
      </c>
      <c r="B388" s="2" t="s">
        <v>649</v>
      </c>
      <c r="C388" s="2" t="s">
        <v>26</v>
      </c>
      <c r="D388" s="2" t="s">
        <v>54</v>
      </c>
      <c r="E388" s="2" t="s">
        <v>11</v>
      </c>
      <c r="F388" s="2">
        <v>9</v>
      </c>
      <c r="G388" s="2">
        <v>933</v>
      </c>
      <c r="H388" s="2" t="str">
        <f>_xlfn.XLOOKUP(E388, Product_Master!A:A, Product_Master!B:B)</f>
        <v>Mobile</v>
      </c>
      <c r="I388" s="2" t="str">
        <f>_xlfn.XLOOKUP(E388, Product_Master!A:A, Product_Master!C:C)</f>
        <v>Electronics</v>
      </c>
      <c r="J388" s="2">
        <f>_xlfn.XLOOKUP(E388, Product_Master!A:A, Product_Master!D:D)</f>
        <v>18000</v>
      </c>
      <c r="K388" s="2">
        <f t="shared" si="24"/>
        <v>8397</v>
      </c>
      <c r="L388" s="2">
        <f t="shared" si="25"/>
        <v>162000</v>
      </c>
      <c r="M388" s="2">
        <f t="shared" si="26"/>
        <v>-153603</v>
      </c>
      <c r="N388" s="2">
        <f>_xlfn.XLOOKUP(D388, Sales_Rep_Master!A:A, Sales_Rep_Master!B:B)</f>
        <v>890000</v>
      </c>
      <c r="O388" s="4">
        <f t="shared" si="27"/>
        <v>9.434831460674158E-3</v>
      </c>
    </row>
    <row r="389" spans="1:15" ht="15.75" hidden="1" x14ac:dyDescent="0.25">
      <c r="A389" s="3" t="s">
        <v>650</v>
      </c>
      <c r="B389" s="2" t="s">
        <v>180</v>
      </c>
      <c r="C389" s="2" t="s">
        <v>33</v>
      </c>
      <c r="D389" s="2" t="s">
        <v>27</v>
      </c>
      <c r="E389" s="2" t="s">
        <v>61</v>
      </c>
      <c r="F389" s="2">
        <v>7</v>
      </c>
      <c r="G389" s="2">
        <v>932</v>
      </c>
      <c r="H389" s="2" t="str">
        <f>_xlfn.XLOOKUP(E389, Product_Master!A:A, Product_Master!B:B)</f>
        <v>Shoes</v>
      </c>
      <c r="I389" s="2" t="str">
        <f>_xlfn.XLOOKUP(E389, Product_Master!A:A, Product_Master!C:C)</f>
        <v>Clothing</v>
      </c>
      <c r="J389" s="2">
        <f>_xlfn.XLOOKUP(E389, Product_Master!A:A, Product_Master!D:D)</f>
        <v>2000</v>
      </c>
      <c r="K389" s="2">
        <f t="shared" si="24"/>
        <v>6524</v>
      </c>
      <c r="L389" s="2">
        <f t="shared" si="25"/>
        <v>14000</v>
      </c>
      <c r="M389" s="2">
        <f t="shared" si="26"/>
        <v>-7476</v>
      </c>
      <c r="N389" s="2">
        <f>_xlfn.XLOOKUP(D389, Sales_Rep_Master!A:A, Sales_Rep_Master!B:B)</f>
        <v>800000</v>
      </c>
      <c r="O389" s="4">
        <f t="shared" si="27"/>
        <v>8.1550000000000008E-3</v>
      </c>
    </row>
    <row r="390" spans="1:15" ht="15.75" x14ac:dyDescent="0.25">
      <c r="A390" s="3" t="s">
        <v>651</v>
      </c>
      <c r="B390" s="2" t="s">
        <v>209</v>
      </c>
      <c r="C390" s="2" t="s">
        <v>26</v>
      </c>
      <c r="D390" s="2" t="s">
        <v>37</v>
      </c>
      <c r="E390" s="2" t="s">
        <v>20</v>
      </c>
      <c r="F390" s="2">
        <v>14</v>
      </c>
      <c r="G390" s="2">
        <v>4028</v>
      </c>
      <c r="H390" s="2" t="str">
        <f>_xlfn.XLOOKUP(E390, Product_Master!A:A, Product_Master!B:B)</f>
        <v>Headphones</v>
      </c>
      <c r="I390" s="2" t="str">
        <f>_xlfn.XLOOKUP(E390, Product_Master!A:A, Product_Master!C:C)</f>
        <v>Electronics</v>
      </c>
      <c r="J390" s="2">
        <f>_xlfn.XLOOKUP(E390, Product_Master!A:A, Product_Master!D:D)</f>
        <v>2000</v>
      </c>
      <c r="K390" s="2">
        <f t="shared" si="24"/>
        <v>56392</v>
      </c>
      <c r="L390" s="2">
        <f t="shared" si="25"/>
        <v>28000</v>
      </c>
      <c r="M390" s="2">
        <f t="shared" si="26"/>
        <v>28392</v>
      </c>
      <c r="N390" s="2">
        <f>_xlfn.XLOOKUP(D390, Sales_Rep_Master!A:A, Sales_Rep_Master!B:B)</f>
        <v>850000</v>
      </c>
      <c r="O390" s="4">
        <f t="shared" si="27"/>
        <v>6.6343529411764704E-2</v>
      </c>
    </row>
    <row r="391" spans="1:15" ht="15.75" hidden="1" x14ac:dyDescent="0.25">
      <c r="A391" s="3" t="s">
        <v>652</v>
      </c>
      <c r="B391" s="2" t="s">
        <v>375</v>
      </c>
      <c r="C391" s="2" t="s">
        <v>9</v>
      </c>
      <c r="D391" s="2" t="s">
        <v>10</v>
      </c>
      <c r="E391" s="2" t="s">
        <v>34</v>
      </c>
      <c r="F391" s="2">
        <v>9</v>
      </c>
      <c r="G391" s="2">
        <v>1628</v>
      </c>
      <c r="H391" s="2" t="str">
        <f>_xlfn.XLOOKUP(E391, Product_Master!A:A, Product_Master!B:B)</f>
        <v>Jacket</v>
      </c>
      <c r="I391" s="2" t="str">
        <f>_xlfn.XLOOKUP(E391, Product_Master!A:A, Product_Master!C:C)</f>
        <v>Clothing</v>
      </c>
      <c r="J391" s="2">
        <f>_xlfn.XLOOKUP(E391, Product_Master!A:A, Product_Master!D:D)</f>
        <v>1500</v>
      </c>
      <c r="K391" s="2">
        <f t="shared" si="24"/>
        <v>14652</v>
      </c>
      <c r="L391" s="2">
        <f t="shared" si="25"/>
        <v>13500</v>
      </c>
      <c r="M391" s="2">
        <f t="shared" si="26"/>
        <v>1152</v>
      </c>
      <c r="N391" s="2">
        <f>_xlfn.XLOOKUP(D391, Sales_Rep_Master!A:A, Sales_Rep_Master!B:B)</f>
        <v>920000</v>
      </c>
      <c r="O391" s="4">
        <f t="shared" si="27"/>
        <v>1.5926086956521739E-2</v>
      </c>
    </row>
    <row r="392" spans="1:15" ht="15.75" hidden="1" x14ac:dyDescent="0.25">
      <c r="A392" s="3" t="s">
        <v>653</v>
      </c>
      <c r="B392" s="2" t="s">
        <v>266</v>
      </c>
      <c r="C392" s="2" t="s">
        <v>9</v>
      </c>
      <c r="D392" s="2" t="s">
        <v>14</v>
      </c>
      <c r="E392" s="2" t="s">
        <v>23</v>
      </c>
      <c r="F392" s="2">
        <v>15</v>
      </c>
      <c r="G392" s="2">
        <v>6228</v>
      </c>
      <c r="H392" s="2" t="str">
        <f>_xlfn.XLOOKUP(E392, Product_Master!A:A, Product_Master!B:B)</f>
        <v>Sofa</v>
      </c>
      <c r="I392" s="2" t="str">
        <f>_xlfn.XLOOKUP(E392, Product_Master!A:A, Product_Master!C:C)</f>
        <v>Furniture</v>
      </c>
      <c r="J392" s="2">
        <f>_xlfn.XLOOKUP(E392, Product_Master!A:A, Product_Master!D:D)</f>
        <v>15000</v>
      </c>
      <c r="K392" s="2">
        <f t="shared" si="24"/>
        <v>93420</v>
      </c>
      <c r="L392" s="2">
        <f t="shared" si="25"/>
        <v>225000</v>
      </c>
      <c r="M392" s="2">
        <f t="shared" si="26"/>
        <v>-131580</v>
      </c>
      <c r="N392" s="2">
        <f>_xlfn.XLOOKUP(D392, Sales_Rep_Master!A:A, Sales_Rep_Master!B:B)</f>
        <v>880000</v>
      </c>
      <c r="O392" s="4">
        <f t="shared" si="27"/>
        <v>0.10615909090909091</v>
      </c>
    </row>
    <row r="393" spans="1:15" ht="15.75" hidden="1" x14ac:dyDescent="0.25">
      <c r="A393" s="3" t="s">
        <v>654</v>
      </c>
      <c r="B393" s="2" t="s">
        <v>655</v>
      </c>
      <c r="C393" s="2" t="s">
        <v>18</v>
      </c>
      <c r="D393" s="2" t="s">
        <v>51</v>
      </c>
      <c r="E393" s="2" t="s">
        <v>23</v>
      </c>
      <c r="F393" s="2">
        <v>3</v>
      </c>
      <c r="G393" s="2">
        <v>5250</v>
      </c>
      <c r="H393" s="2" t="str">
        <f>_xlfn.XLOOKUP(E393, Product_Master!A:A, Product_Master!B:B)</f>
        <v>Sofa</v>
      </c>
      <c r="I393" s="2" t="str">
        <f>_xlfn.XLOOKUP(E393, Product_Master!A:A, Product_Master!C:C)</f>
        <v>Furniture</v>
      </c>
      <c r="J393" s="2">
        <f>_xlfn.XLOOKUP(E393, Product_Master!A:A, Product_Master!D:D)</f>
        <v>15000</v>
      </c>
      <c r="K393" s="2">
        <f t="shared" si="24"/>
        <v>15750</v>
      </c>
      <c r="L393" s="2">
        <f t="shared" si="25"/>
        <v>45000</v>
      </c>
      <c r="M393" s="2">
        <f t="shared" si="26"/>
        <v>-29250</v>
      </c>
      <c r="N393" s="2">
        <f>_xlfn.XLOOKUP(D393, Sales_Rep_Master!A:A, Sales_Rep_Master!B:B)</f>
        <v>900000</v>
      </c>
      <c r="O393" s="4">
        <f t="shared" si="27"/>
        <v>1.7500000000000002E-2</v>
      </c>
    </row>
    <row r="394" spans="1:15" ht="15.75" x14ac:dyDescent="0.25">
      <c r="A394" s="3" t="s">
        <v>656</v>
      </c>
      <c r="B394" s="2" t="s">
        <v>115</v>
      </c>
      <c r="C394" s="2" t="s">
        <v>9</v>
      </c>
      <c r="D394" s="2" t="s">
        <v>14</v>
      </c>
      <c r="E394" s="2" t="s">
        <v>11</v>
      </c>
      <c r="F394" s="2">
        <v>2</v>
      </c>
      <c r="G394" s="2">
        <v>7997</v>
      </c>
      <c r="H394" s="2" t="str">
        <f>_xlfn.XLOOKUP(E394, Product_Master!A:A, Product_Master!B:B)</f>
        <v>Mobile</v>
      </c>
      <c r="I394" s="2" t="str">
        <f>_xlfn.XLOOKUP(E394, Product_Master!A:A, Product_Master!C:C)</f>
        <v>Electronics</v>
      </c>
      <c r="J394" s="2">
        <f>_xlfn.XLOOKUP(E394, Product_Master!A:A, Product_Master!D:D)</f>
        <v>18000</v>
      </c>
      <c r="K394" s="2">
        <f t="shared" si="24"/>
        <v>15994</v>
      </c>
      <c r="L394" s="2">
        <f t="shared" si="25"/>
        <v>36000</v>
      </c>
      <c r="M394" s="2">
        <f t="shared" si="26"/>
        <v>-20006</v>
      </c>
      <c r="N394" s="2">
        <f>_xlfn.XLOOKUP(D394, Sales_Rep_Master!A:A, Sales_Rep_Master!B:B)</f>
        <v>880000</v>
      </c>
      <c r="O394" s="4">
        <f t="shared" si="27"/>
        <v>1.8175E-2</v>
      </c>
    </row>
    <row r="395" spans="1:15" ht="15.75" hidden="1" x14ac:dyDescent="0.25">
      <c r="A395" s="3" t="s">
        <v>657</v>
      </c>
      <c r="B395" s="2" t="s">
        <v>81</v>
      </c>
      <c r="C395" s="2" t="s">
        <v>9</v>
      </c>
      <c r="D395" s="2" t="s">
        <v>27</v>
      </c>
      <c r="E395" s="2" t="s">
        <v>40</v>
      </c>
      <c r="F395" s="2">
        <v>11</v>
      </c>
      <c r="G395" s="2">
        <v>1408</v>
      </c>
      <c r="H395" s="2" t="str">
        <f>_xlfn.XLOOKUP(E395, Product_Master!A:A, Product_Master!B:B)</f>
        <v>Table</v>
      </c>
      <c r="I395" s="2" t="str">
        <f>_xlfn.XLOOKUP(E395, Product_Master!A:A, Product_Master!C:C)</f>
        <v>Furniture</v>
      </c>
      <c r="J395" s="2">
        <f>_xlfn.XLOOKUP(E395, Product_Master!A:A, Product_Master!D:D)</f>
        <v>7000</v>
      </c>
      <c r="K395" s="2">
        <f t="shared" si="24"/>
        <v>15488</v>
      </c>
      <c r="L395" s="2">
        <f t="shared" si="25"/>
        <v>77000</v>
      </c>
      <c r="M395" s="2">
        <f t="shared" si="26"/>
        <v>-61512</v>
      </c>
      <c r="N395" s="2">
        <f>_xlfn.XLOOKUP(D395, Sales_Rep_Master!A:A, Sales_Rep_Master!B:B)</f>
        <v>800000</v>
      </c>
      <c r="O395" s="4">
        <f t="shared" si="27"/>
        <v>1.9359999999999999E-2</v>
      </c>
    </row>
    <row r="396" spans="1:15" ht="15.75" hidden="1" x14ac:dyDescent="0.25">
      <c r="A396" s="3" t="s">
        <v>658</v>
      </c>
      <c r="B396" s="2" t="s">
        <v>335</v>
      </c>
      <c r="C396" s="2" t="s">
        <v>33</v>
      </c>
      <c r="D396" s="2" t="s">
        <v>37</v>
      </c>
      <c r="E396" s="2" t="s">
        <v>61</v>
      </c>
      <c r="F396" s="2">
        <v>12</v>
      </c>
      <c r="G396" s="2">
        <v>1401</v>
      </c>
      <c r="H396" s="2" t="str">
        <f>_xlfn.XLOOKUP(E396, Product_Master!A:A, Product_Master!B:B)</f>
        <v>Shoes</v>
      </c>
      <c r="I396" s="2" t="str">
        <f>_xlfn.XLOOKUP(E396, Product_Master!A:A, Product_Master!C:C)</f>
        <v>Clothing</v>
      </c>
      <c r="J396" s="2">
        <f>_xlfn.XLOOKUP(E396, Product_Master!A:A, Product_Master!D:D)</f>
        <v>2000</v>
      </c>
      <c r="K396" s="2">
        <f t="shared" si="24"/>
        <v>16812</v>
      </c>
      <c r="L396" s="2">
        <f t="shared" si="25"/>
        <v>24000</v>
      </c>
      <c r="M396" s="2">
        <f t="shared" si="26"/>
        <v>-7188</v>
      </c>
      <c r="N396" s="2">
        <f>_xlfn.XLOOKUP(D396, Sales_Rep_Master!A:A, Sales_Rep_Master!B:B)</f>
        <v>850000</v>
      </c>
      <c r="O396" s="4">
        <f t="shared" si="27"/>
        <v>1.9778823529411765E-2</v>
      </c>
    </row>
    <row r="397" spans="1:15" ht="15.75" x14ac:dyDescent="0.25">
      <c r="A397" s="3" t="s">
        <v>659</v>
      </c>
      <c r="B397" s="2" t="s">
        <v>660</v>
      </c>
      <c r="C397" s="2" t="s">
        <v>33</v>
      </c>
      <c r="D397" s="2" t="s">
        <v>37</v>
      </c>
      <c r="E397" s="2" t="s">
        <v>20</v>
      </c>
      <c r="F397" s="2">
        <v>3</v>
      </c>
      <c r="G397" s="2">
        <v>2992</v>
      </c>
      <c r="H397" s="2" t="str">
        <f>_xlfn.XLOOKUP(E397, Product_Master!A:A, Product_Master!B:B)</f>
        <v>Headphones</v>
      </c>
      <c r="I397" s="2" t="str">
        <f>_xlfn.XLOOKUP(E397, Product_Master!A:A, Product_Master!C:C)</f>
        <v>Electronics</v>
      </c>
      <c r="J397" s="2">
        <f>_xlfn.XLOOKUP(E397, Product_Master!A:A, Product_Master!D:D)</f>
        <v>2000</v>
      </c>
      <c r="K397" s="2">
        <f t="shared" si="24"/>
        <v>8976</v>
      </c>
      <c r="L397" s="2">
        <f t="shared" si="25"/>
        <v>6000</v>
      </c>
      <c r="M397" s="2">
        <f t="shared" si="26"/>
        <v>2976</v>
      </c>
      <c r="N397" s="2">
        <f>_xlfn.XLOOKUP(D397, Sales_Rep_Master!A:A, Sales_Rep_Master!B:B)</f>
        <v>850000</v>
      </c>
      <c r="O397" s="4">
        <f t="shared" si="27"/>
        <v>1.056E-2</v>
      </c>
    </row>
    <row r="398" spans="1:15" ht="15.75" hidden="1" x14ac:dyDescent="0.25">
      <c r="A398" s="3" t="s">
        <v>661</v>
      </c>
      <c r="B398" s="2" t="s">
        <v>87</v>
      </c>
      <c r="C398" s="2" t="s">
        <v>9</v>
      </c>
      <c r="D398" s="2" t="s">
        <v>51</v>
      </c>
      <c r="E398" s="2" t="s">
        <v>23</v>
      </c>
      <c r="F398" s="2">
        <v>7</v>
      </c>
      <c r="G398" s="2">
        <v>5669</v>
      </c>
      <c r="H398" s="2" t="str">
        <f>_xlfn.XLOOKUP(E398, Product_Master!A:A, Product_Master!B:B)</f>
        <v>Sofa</v>
      </c>
      <c r="I398" s="2" t="str">
        <f>_xlfn.XLOOKUP(E398, Product_Master!A:A, Product_Master!C:C)</f>
        <v>Furniture</v>
      </c>
      <c r="J398" s="2">
        <f>_xlfn.XLOOKUP(E398, Product_Master!A:A, Product_Master!D:D)</f>
        <v>15000</v>
      </c>
      <c r="K398" s="2">
        <f t="shared" si="24"/>
        <v>39683</v>
      </c>
      <c r="L398" s="2">
        <f t="shared" si="25"/>
        <v>105000</v>
      </c>
      <c r="M398" s="2">
        <f t="shared" si="26"/>
        <v>-65317</v>
      </c>
      <c r="N398" s="2">
        <f>_xlfn.XLOOKUP(D398, Sales_Rep_Master!A:A, Sales_Rep_Master!B:B)</f>
        <v>900000</v>
      </c>
      <c r="O398" s="4">
        <f t="shared" si="27"/>
        <v>4.409222222222222E-2</v>
      </c>
    </row>
    <row r="399" spans="1:15" ht="15.75" hidden="1" x14ac:dyDescent="0.25">
      <c r="A399" s="3" t="s">
        <v>662</v>
      </c>
      <c r="B399" s="2" t="s">
        <v>663</v>
      </c>
      <c r="C399" s="2" t="s">
        <v>18</v>
      </c>
      <c r="D399" s="2" t="s">
        <v>37</v>
      </c>
      <c r="E399" s="2" t="s">
        <v>15</v>
      </c>
      <c r="F399" s="2">
        <v>12</v>
      </c>
      <c r="G399" s="2">
        <v>7816</v>
      </c>
      <c r="H399" s="2" t="str">
        <f>_xlfn.XLOOKUP(E399, Product_Master!A:A, Product_Master!B:B)</f>
        <v>Chair</v>
      </c>
      <c r="I399" s="2" t="str">
        <f>_xlfn.XLOOKUP(E399, Product_Master!A:A, Product_Master!C:C)</f>
        <v>Furniture</v>
      </c>
      <c r="J399" s="2">
        <f>_xlfn.XLOOKUP(E399, Product_Master!A:A, Product_Master!D:D)</f>
        <v>2500</v>
      </c>
      <c r="K399" s="2">
        <f t="shared" si="24"/>
        <v>93792</v>
      </c>
      <c r="L399" s="2">
        <f t="shared" si="25"/>
        <v>30000</v>
      </c>
      <c r="M399" s="2">
        <f t="shared" si="26"/>
        <v>63792</v>
      </c>
      <c r="N399" s="2">
        <f>_xlfn.XLOOKUP(D399, Sales_Rep_Master!A:A, Sales_Rep_Master!B:B)</f>
        <v>850000</v>
      </c>
      <c r="O399" s="4">
        <f t="shared" si="27"/>
        <v>0.1103435294117647</v>
      </c>
    </row>
    <row r="400" spans="1:15" ht="15.75" hidden="1" x14ac:dyDescent="0.25">
      <c r="A400" s="3" t="s">
        <v>664</v>
      </c>
      <c r="B400" s="2" t="s">
        <v>665</v>
      </c>
      <c r="C400" s="2" t="s">
        <v>33</v>
      </c>
      <c r="D400" s="2" t="s">
        <v>27</v>
      </c>
      <c r="E400" s="2" t="s">
        <v>61</v>
      </c>
      <c r="F400" s="2">
        <v>4</v>
      </c>
      <c r="G400" s="2">
        <v>7012</v>
      </c>
      <c r="H400" s="2" t="str">
        <f>_xlfn.XLOOKUP(E400, Product_Master!A:A, Product_Master!B:B)</f>
        <v>Shoes</v>
      </c>
      <c r="I400" s="2" t="str">
        <f>_xlfn.XLOOKUP(E400, Product_Master!A:A, Product_Master!C:C)</f>
        <v>Clothing</v>
      </c>
      <c r="J400" s="2">
        <f>_xlfn.XLOOKUP(E400, Product_Master!A:A, Product_Master!D:D)</f>
        <v>2000</v>
      </c>
      <c r="K400" s="2">
        <f t="shared" si="24"/>
        <v>28048</v>
      </c>
      <c r="L400" s="2">
        <f t="shared" si="25"/>
        <v>8000</v>
      </c>
      <c r="M400" s="2">
        <f t="shared" si="26"/>
        <v>20048</v>
      </c>
      <c r="N400" s="2">
        <f>_xlfn.XLOOKUP(D400, Sales_Rep_Master!A:A, Sales_Rep_Master!B:B)</f>
        <v>800000</v>
      </c>
      <c r="O400" s="4">
        <f t="shared" si="27"/>
        <v>3.5060000000000001E-2</v>
      </c>
    </row>
    <row r="401" spans="1:15" ht="15.75" hidden="1" x14ac:dyDescent="0.25">
      <c r="A401" s="3" t="s">
        <v>666</v>
      </c>
      <c r="B401" s="2" t="s">
        <v>39</v>
      </c>
      <c r="C401" s="2" t="s">
        <v>26</v>
      </c>
      <c r="D401" s="2" t="s">
        <v>37</v>
      </c>
      <c r="E401" s="2" t="s">
        <v>23</v>
      </c>
      <c r="F401" s="2">
        <v>1</v>
      </c>
      <c r="G401" s="2">
        <v>2945</v>
      </c>
      <c r="H401" s="2" t="str">
        <f>_xlfn.XLOOKUP(E401, Product_Master!A:A, Product_Master!B:B)</f>
        <v>Sofa</v>
      </c>
      <c r="I401" s="2" t="str">
        <f>_xlfn.XLOOKUP(E401, Product_Master!A:A, Product_Master!C:C)</f>
        <v>Furniture</v>
      </c>
      <c r="J401" s="2">
        <f>_xlfn.XLOOKUP(E401, Product_Master!A:A, Product_Master!D:D)</f>
        <v>15000</v>
      </c>
      <c r="K401" s="2">
        <f t="shared" si="24"/>
        <v>2945</v>
      </c>
      <c r="L401" s="2">
        <f t="shared" si="25"/>
        <v>15000</v>
      </c>
      <c r="M401" s="2">
        <f t="shared" si="26"/>
        <v>-12055</v>
      </c>
      <c r="N401" s="2">
        <f>_xlfn.XLOOKUP(D401, Sales_Rep_Master!A:A, Sales_Rep_Master!B:B)</f>
        <v>850000</v>
      </c>
      <c r="O401" s="4">
        <f t="shared" si="27"/>
        <v>3.4647058823529414E-3</v>
      </c>
    </row>
    <row r="402" spans="1:15" ht="15.75" hidden="1" x14ac:dyDescent="0.25">
      <c r="A402" s="3" t="s">
        <v>667</v>
      </c>
      <c r="B402" s="2" t="s">
        <v>108</v>
      </c>
      <c r="C402" s="2" t="s">
        <v>26</v>
      </c>
      <c r="D402" s="2" t="s">
        <v>10</v>
      </c>
      <c r="E402" s="2" t="s">
        <v>23</v>
      </c>
      <c r="F402" s="2">
        <v>10</v>
      </c>
      <c r="G402" s="2">
        <v>6365</v>
      </c>
      <c r="H402" s="2" t="str">
        <f>_xlfn.XLOOKUP(E402, Product_Master!A:A, Product_Master!B:B)</f>
        <v>Sofa</v>
      </c>
      <c r="I402" s="2" t="str">
        <f>_xlfn.XLOOKUP(E402, Product_Master!A:A, Product_Master!C:C)</f>
        <v>Furniture</v>
      </c>
      <c r="J402" s="2">
        <f>_xlfn.XLOOKUP(E402, Product_Master!A:A, Product_Master!D:D)</f>
        <v>15000</v>
      </c>
      <c r="K402" s="2">
        <f t="shared" si="24"/>
        <v>63650</v>
      </c>
      <c r="L402" s="2">
        <f t="shared" si="25"/>
        <v>150000</v>
      </c>
      <c r="M402" s="2">
        <f t="shared" si="26"/>
        <v>-86350</v>
      </c>
      <c r="N402" s="2">
        <f>_xlfn.XLOOKUP(D402, Sales_Rep_Master!A:A, Sales_Rep_Master!B:B)</f>
        <v>920000</v>
      </c>
      <c r="O402" s="4">
        <f t="shared" si="27"/>
        <v>6.918478260869565E-2</v>
      </c>
    </row>
    <row r="403" spans="1:15" ht="15.75" x14ac:dyDescent="0.25">
      <c r="A403" s="3" t="s">
        <v>668</v>
      </c>
      <c r="B403" s="2" t="s">
        <v>669</v>
      </c>
      <c r="C403" s="2" t="s">
        <v>9</v>
      </c>
      <c r="D403" s="2" t="s">
        <v>152</v>
      </c>
      <c r="E403" s="2" t="s">
        <v>11</v>
      </c>
      <c r="F403" s="2">
        <v>13</v>
      </c>
      <c r="G403" s="2">
        <v>5229</v>
      </c>
      <c r="H403" s="2" t="str">
        <f>_xlfn.XLOOKUP(E403, Product_Master!A:A, Product_Master!B:B)</f>
        <v>Mobile</v>
      </c>
      <c r="I403" s="2" t="str">
        <f>_xlfn.XLOOKUP(E403, Product_Master!A:A, Product_Master!C:C)</f>
        <v>Electronics</v>
      </c>
      <c r="J403" s="2">
        <f>_xlfn.XLOOKUP(E403, Product_Master!A:A, Product_Master!D:D)</f>
        <v>18000</v>
      </c>
      <c r="K403" s="2">
        <f t="shared" si="24"/>
        <v>67977</v>
      </c>
      <c r="L403" s="2">
        <f t="shared" si="25"/>
        <v>234000</v>
      </c>
      <c r="M403" s="2">
        <f t="shared" si="26"/>
        <v>-166023</v>
      </c>
      <c r="N403" s="2">
        <f>_xlfn.XLOOKUP(D403, Sales_Rep_Master!A:A, Sales_Rep_Master!B:B)</f>
        <v>870000</v>
      </c>
      <c r="O403" s="4">
        <f t="shared" si="27"/>
        <v>7.8134482758620685E-2</v>
      </c>
    </row>
    <row r="404" spans="1:15" ht="15.75" x14ac:dyDescent="0.25">
      <c r="A404" s="3" t="s">
        <v>670</v>
      </c>
      <c r="B404" s="2" t="s">
        <v>576</v>
      </c>
      <c r="C404" s="2" t="s">
        <v>33</v>
      </c>
      <c r="D404" s="2" t="s">
        <v>51</v>
      </c>
      <c r="E404" s="2" t="s">
        <v>20</v>
      </c>
      <c r="F404" s="2">
        <v>9</v>
      </c>
      <c r="G404" s="2">
        <v>5719</v>
      </c>
      <c r="H404" s="2" t="str">
        <f>_xlfn.XLOOKUP(E404, Product_Master!A:A, Product_Master!B:B)</f>
        <v>Headphones</v>
      </c>
      <c r="I404" s="2" t="str">
        <f>_xlfn.XLOOKUP(E404, Product_Master!A:A, Product_Master!C:C)</f>
        <v>Electronics</v>
      </c>
      <c r="J404" s="2">
        <f>_xlfn.XLOOKUP(E404, Product_Master!A:A, Product_Master!D:D)</f>
        <v>2000</v>
      </c>
      <c r="K404" s="2">
        <f t="shared" si="24"/>
        <v>51471</v>
      </c>
      <c r="L404" s="2">
        <f t="shared" si="25"/>
        <v>18000</v>
      </c>
      <c r="M404" s="2">
        <f t="shared" si="26"/>
        <v>33471</v>
      </c>
      <c r="N404" s="2">
        <f>_xlfn.XLOOKUP(D404, Sales_Rep_Master!A:A, Sales_Rep_Master!B:B)</f>
        <v>900000</v>
      </c>
      <c r="O404" s="4">
        <f t="shared" si="27"/>
        <v>5.7189999999999998E-2</v>
      </c>
    </row>
    <row r="405" spans="1:15" ht="15.75" hidden="1" x14ac:dyDescent="0.25">
      <c r="A405" s="3" t="s">
        <v>671</v>
      </c>
      <c r="B405" s="2" t="s">
        <v>123</v>
      </c>
      <c r="C405" s="2" t="s">
        <v>26</v>
      </c>
      <c r="D405" s="2" t="s">
        <v>19</v>
      </c>
      <c r="E405" s="2" t="s">
        <v>61</v>
      </c>
      <c r="F405" s="2">
        <v>1</v>
      </c>
      <c r="G405" s="2">
        <v>1449</v>
      </c>
      <c r="H405" s="2" t="str">
        <f>_xlfn.XLOOKUP(E405, Product_Master!A:A, Product_Master!B:B)</f>
        <v>Shoes</v>
      </c>
      <c r="I405" s="2" t="str">
        <f>_xlfn.XLOOKUP(E405, Product_Master!A:A, Product_Master!C:C)</f>
        <v>Clothing</v>
      </c>
      <c r="J405" s="2">
        <f>_xlfn.XLOOKUP(E405, Product_Master!A:A, Product_Master!D:D)</f>
        <v>2000</v>
      </c>
      <c r="K405" s="2">
        <f t="shared" si="24"/>
        <v>1449</v>
      </c>
      <c r="L405" s="2">
        <f t="shared" si="25"/>
        <v>2000</v>
      </c>
      <c r="M405" s="2">
        <f t="shared" si="26"/>
        <v>-551</v>
      </c>
      <c r="N405" s="2">
        <f>_xlfn.XLOOKUP(D405, Sales_Rep_Master!A:A, Sales_Rep_Master!B:B)</f>
        <v>950000</v>
      </c>
      <c r="O405" s="4">
        <f t="shared" si="27"/>
        <v>1.5252631578947368E-3</v>
      </c>
    </row>
    <row r="406" spans="1:15" ht="15.75" x14ac:dyDescent="0.25">
      <c r="A406" s="3" t="s">
        <v>672</v>
      </c>
      <c r="B406" s="2" t="s">
        <v>673</v>
      </c>
      <c r="C406" s="2" t="s">
        <v>33</v>
      </c>
      <c r="D406" s="2" t="s">
        <v>14</v>
      </c>
      <c r="E406" s="2" t="s">
        <v>11</v>
      </c>
      <c r="F406" s="2">
        <v>10</v>
      </c>
      <c r="G406" s="2">
        <v>5882</v>
      </c>
      <c r="H406" s="2" t="str">
        <f>_xlfn.XLOOKUP(E406, Product_Master!A:A, Product_Master!B:B)</f>
        <v>Mobile</v>
      </c>
      <c r="I406" s="2" t="str">
        <f>_xlfn.XLOOKUP(E406, Product_Master!A:A, Product_Master!C:C)</f>
        <v>Electronics</v>
      </c>
      <c r="J406" s="2">
        <f>_xlfn.XLOOKUP(E406, Product_Master!A:A, Product_Master!D:D)</f>
        <v>18000</v>
      </c>
      <c r="K406" s="2">
        <f t="shared" si="24"/>
        <v>58820</v>
      </c>
      <c r="L406" s="2">
        <f t="shared" si="25"/>
        <v>180000</v>
      </c>
      <c r="M406" s="2">
        <f t="shared" si="26"/>
        <v>-121180</v>
      </c>
      <c r="N406" s="2">
        <f>_xlfn.XLOOKUP(D406, Sales_Rep_Master!A:A, Sales_Rep_Master!B:B)</f>
        <v>880000</v>
      </c>
      <c r="O406" s="4">
        <f t="shared" si="27"/>
        <v>6.684090909090909E-2</v>
      </c>
    </row>
    <row r="407" spans="1:15" ht="15.75" hidden="1" x14ac:dyDescent="0.25">
      <c r="A407" s="3" t="s">
        <v>674</v>
      </c>
      <c r="B407" s="2" t="s">
        <v>220</v>
      </c>
      <c r="C407" s="2" t="s">
        <v>18</v>
      </c>
      <c r="D407" s="2" t="s">
        <v>14</v>
      </c>
      <c r="E407" s="2" t="s">
        <v>40</v>
      </c>
      <c r="F407" s="2">
        <v>14</v>
      </c>
      <c r="G407" s="2">
        <v>2044</v>
      </c>
      <c r="H407" s="2" t="str">
        <f>_xlfn.XLOOKUP(E407, Product_Master!A:A, Product_Master!B:B)</f>
        <v>Table</v>
      </c>
      <c r="I407" s="2" t="str">
        <f>_xlfn.XLOOKUP(E407, Product_Master!A:A, Product_Master!C:C)</f>
        <v>Furniture</v>
      </c>
      <c r="J407" s="2">
        <f>_xlfn.XLOOKUP(E407, Product_Master!A:A, Product_Master!D:D)</f>
        <v>7000</v>
      </c>
      <c r="K407" s="2">
        <f t="shared" si="24"/>
        <v>28616</v>
      </c>
      <c r="L407" s="2">
        <f t="shared" si="25"/>
        <v>98000</v>
      </c>
      <c r="M407" s="2">
        <f t="shared" si="26"/>
        <v>-69384</v>
      </c>
      <c r="N407" s="2">
        <f>_xlfn.XLOOKUP(D407, Sales_Rep_Master!A:A, Sales_Rep_Master!B:B)</f>
        <v>880000</v>
      </c>
      <c r="O407" s="4">
        <f t="shared" si="27"/>
        <v>3.2518181818181821E-2</v>
      </c>
    </row>
    <row r="408" spans="1:15" ht="15.75" hidden="1" x14ac:dyDescent="0.25">
      <c r="A408" s="3" t="s">
        <v>675</v>
      </c>
      <c r="B408" s="2" t="s">
        <v>676</v>
      </c>
      <c r="C408" s="2" t="s">
        <v>9</v>
      </c>
      <c r="D408" s="2" t="s">
        <v>27</v>
      </c>
      <c r="E408" s="2" t="s">
        <v>61</v>
      </c>
      <c r="F408" s="2">
        <v>4</v>
      </c>
      <c r="G408" s="2">
        <v>3878</v>
      </c>
      <c r="H408" s="2" t="str">
        <f>_xlfn.XLOOKUP(E408, Product_Master!A:A, Product_Master!B:B)</f>
        <v>Shoes</v>
      </c>
      <c r="I408" s="2" t="str">
        <f>_xlfn.XLOOKUP(E408, Product_Master!A:A, Product_Master!C:C)</f>
        <v>Clothing</v>
      </c>
      <c r="J408" s="2">
        <f>_xlfn.XLOOKUP(E408, Product_Master!A:A, Product_Master!D:D)</f>
        <v>2000</v>
      </c>
      <c r="K408" s="2">
        <f t="shared" si="24"/>
        <v>15512</v>
      </c>
      <c r="L408" s="2">
        <f t="shared" si="25"/>
        <v>8000</v>
      </c>
      <c r="M408" s="2">
        <f t="shared" si="26"/>
        <v>7512</v>
      </c>
      <c r="N408" s="2">
        <f>_xlfn.XLOOKUP(D408, Sales_Rep_Master!A:A, Sales_Rep_Master!B:B)</f>
        <v>800000</v>
      </c>
      <c r="O408" s="4">
        <f t="shared" si="27"/>
        <v>1.9390000000000001E-2</v>
      </c>
    </row>
    <row r="409" spans="1:15" ht="15.75" hidden="1" x14ac:dyDescent="0.25">
      <c r="A409" s="3" t="s">
        <v>677</v>
      </c>
      <c r="B409" s="2" t="s">
        <v>67</v>
      </c>
      <c r="C409" s="2" t="s">
        <v>26</v>
      </c>
      <c r="D409" s="2" t="s">
        <v>152</v>
      </c>
      <c r="E409" s="2" t="s">
        <v>23</v>
      </c>
      <c r="F409" s="2">
        <v>14</v>
      </c>
      <c r="G409" s="2">
        <v>7005</v>
      </c>
      <c r="H409" s="2" t="str">
        <f>_xlfn.XLOOKUP(E409, Product_Master!A:A, Product_Master!B:B)</f>
        <v>Sofa</v>
      </c>
      <c r="I409" s="2" t="str">
        <f>_xlfn.XLOOKUP(E409, Product_Master!A:A, Product_Master!C:C)</f>
        <v>Furniture</v>
      </c>
      <c r="J409" s="2">
        <f>_xlfn.XLOOKUP(E409, Product_Master!A:A, Product_Master!D:D)</f>
        <v>15000</v>
      </c>
      <c r="K409" s="2">
        <f t="shared" si="24"/>
        <v>98070</v>
      </c>
      <c r="L409" s="2">
        <f t="shared" si="25"/>
        <v>210000</v>
      </c>
      <c r="M409" s="2">
        <f t="shared" si="26"/>
        <v>-111930</v>
      </c>
      <c r="N409" s="2">
        <f>_xlfn.XLOOKUP(D409, Sales_Rep_Master!A:A, Sales_Rep_Master!B:B)</f>
        <v>870000</v>
      </c>
      <c r="O409" s="4">
        <f t="shared" si="27"/>
        <v>0.11272413793103449</v>
      </c>
    </row>
    <row r="410" spans="1:15" ht="15.75" hidden="1" x14ac:dyDescent="0.25">
      <c r="A410" s="3" t="s">
        <v>678</v>
      </c>
      <c r="B410" s="2" t="s">
        <v>71</v>
      </c>
      <c r="C410" s="2" t="s">
        <v>9</v>
      </c>
      <c r="D410" s="2" t="s">
        <v>152</v>
      </c>
      <c r="E410" s="2" t="s">
        <v>61</v>
      </c>
      <c r="F410" s="2">
        <v>10</v>
      </c>
      <c r="G410" s="2">
        <v>7733</v>
      </c>
      <c r="H410" s="2" t="str">
        <f>_xlfn.XLOOKUP(E410, Product_Master!A:A, Product_Master!B:B)</f>
        <v>Shoes</v>
      </c>
      <c r="I410" s="2" t="str">
        <f>_xlfn.XLOOKUP(E410, Product_Master!A:A, Product_Master!C:C)</f>
        <v>Clothing</v>
      </c>
      <c r="J410" s="2">
        <f>_xlfn.XLOOKUP(E410, Product_Master!A:A, Product_Master!D:D)</f>
        <v>2000</v>
      </c>
      <c r="K410" s="2">
        <f t="shared" si="24"/>
        <v>77330</v>
      </c>
      <c r="L410" s="2">
        <f t="shared" si="25"/>
        <v>20000</v>
      </c>
      <c r="M410" s="2">
        <f t="shared" si="26"/>
        <v>57330</v>
      </c>
      <c r="N410" s="2">
        <f>_xlfn.XLOOKUP(D410, Sales_Rep_Master!A:A, Sales_Rep_Master!B:B)</f>
        <v>870000</v>
      </c>
      <c r="O410" s="4">
        <f t="shared" si="27"/>
        <v>8.8885057471264364E-2</v>
      </c>
    </row>
    <row r="411" spans="1:15" ht="15.75" hidden="1" x14ac:dyDescent="0.25">
      <c r="A411" s="3" t="s">
        <v>679</v>
      </c>
      <c r="B411" s="2" t="s">
        <v>470</v>
      </c>
      <c r="C411" s="2" t="s">
        <v>33</v>
      </c>
      <c r="D411" s="2" t="s">
        <v>10</v>
      </c>
      <c r="E411" s="2" t="s">
        <v>15</v>
      </c>
      <c r="F411" s="2">
        <v>10</v>
      </c>
      <c r="G411" s="2">
        <v>1389</v>
      </c>
      <c r="H411" s="2" t="str">
        <f>_xlfn.XLOOKUP(E411, Product_Master!A:A, Product_Master!B:B)</f>
        <v>Chair</v>
      </c>
      <c r="I411" s="2" t="str">
        <f>_xlfn.XLOOKUP(E411, Product_Master!A:A, Product_Master!C:C)</f>
        <v>Furniture</v>
      </c>
      <c r="J411" s="2">
        <f>_xlfn.XLOOKUP(E411, Product_Master!A:A, Product_Master!D:D)</f>
        <v>2500</v>
      </c>
      <c r="K411" s="2">
        <f t="shared" si="24"/>
        <v>13890</v>
      </c>
      <c r="L411" s="2">
        <f t="shared" si="25"/>
        <v>25000</v>
      </c>
      <c r="M411" s="2">
        <f t="shared" si="26"/>
        <v>-11110</v>
      </c>
      <c r="N411" s="2">
        <f>_xlfn.XLOOKUP(D411, Sales_Rep_Master!A:A, Sales_Rep_Master!B:B)</f>
        <v>920000</v>
      </c>
      <c r="O411" s="4">
        <f t="shared" si="27"/>
        <v>1.5097826086956522E-2</v>
      </c>
    </row>
    <row r="412" spans="1:15" ht="15.75" hidden="1" x14ac:dyDescent="0.25">
      <c r="A412" s="3" t="s">
        <v>680</v>
      </c>
      <c r="B412" s="2" t="s">
        <v>530</v>
      </c>
      <c r="C412" s="2" t="s">
        <v>9</v>
      </c>
      <c r="D412" s="2" t="s">
        <v>19</v>
      </c>
      <c r="E412" s="2" t="s">
        <v>34</v>
      </c>
      <c r="F412" s="2">
        <v>2</v>
      </c>
      <c r="G412" s="2">
        <v>6108</v>
      </c>
      <c r="H412" s="2" t="str">
        <f>_xlfn.XLOOKUP(E412, Product_Master!A:A, Product_Master!B:B)</f>
        <v>Jacket</v>
      </c>
      <c r="I412" s="2" t="str">
        <f>_xlfn.XLOOKUP(E412, Product_Master!A:A, Product_Master!C:C)</f>
        <v>Clothing</v>
      </c>
      <c r="J412" s="2">
        <f>_xlfn.XLOOKUP(E412, Product_Master!A:A, Product_Master!D:D)</f>
        <v>1500</v>
      </c>
      <c r="K412" s="2">
        <f t="shared" si="24"/>
        <v>12216</v>
      </c>
      <c r="L412" s="2">
        <f t="shared" si="25"/>
        <v>3000</v>
      </c>
      <c r="M412" s="2">
        <f t="shared" si="26"/>
        <v>9216</v>
      </c>
      <c r="N412" s="2">
        <f>_xlfn.XLOOKUP(D412, Sales_Rep_Master!A:A, Sales_Rep_Master!B:B)</f>
        <v>950000</v>
      </c>
      <c r="O412" s="4">
        <f t="shared" si="27"/>
        <v>1.2858947368421053E-2</v>
      </c>
    </row>
    <row r="413" spans="1:15" ht="15.75" x14ac:dyDescent="0.25">
      <c r="A413" s="3" t="s">
        <v>681</v>
      </c>
      <c r="B413" s="2" t="s">
        <v>682</v>
      </c>
      <c r="C413" s="2" t="s">
        <v>9</v>
      </c>
      <c r="D413" s="2" t="s">
        <v>37</v>
      </c>
      <c r="E413" s="2" t="s">
        <v>28</v>
      </c>
      <c r="F413" s="2">
        <v>11</v>
      </c>
      <c r="G413" s="2">
        <v>5880</v>
      </c>
      <c r="H413" s="2" t="str">
        <f>_xlfn.XLOOKUP(E413, Product_Master!A:A, Product_Master!B:B)</f>
        <v>Laptop</v>
      </c>
      <c r="I413" s="2" t="str">
        <f>_xlfn.XLOOKUP(E413, Product_Master!A:A, Product_Master!C:C)</f>
        <v>Electronics</v>
      </c>
      <c r="J413" s="2">
        <f>_xlfn.XLOOKUP(E413, Product_Master!A:A, Product_Master!D:D)</f>
        <v>35000</v>
      </c>
      <c r="K413" s="2">
        <f t="shared" si="24"/>
        <v>64680</v>
      </c>
      <c r="L413" s="2">
        <f t="shared" si="25"/>
        <v>385000</v>
      </c>
      <c r="M413" s="2">
        <f t="shared" si="26"/>
        <v>-320320</v>
      </c>
      <c r="N413" s="2">
        <f>_xlfn.XLOOKUP(D413, Sales_Rep_Master!A:A, Sales_Rep_Master!B:B)</f>
        <v>850000</v>
      </c>
      <c r="O413" s="4">
        <f t="shared" si="27"/>
        <v>7.6094117647058826E-2</v>
      </c>
    </row>
    <row r="414" spans="1:15" ht="15.75" x14ac:dyDescent="0.25">
      <c r="A414" s="3" t="s">
        <v>683</v>
      </c>
      <c r="B414" s="2" t="s">
        <v>261</v>
      </c>
      <c r="C414" s="2" t="s">
        <v>26</v>
      </c>
      <c r="D414" s="2" t="s">
        <v>27</v>
      </c>
      <c r="E414" s="2" t="s">
        <v>20</v>
      </c>
      <c r="F414" s="2">
        <v>1</v>
      </c>
      <c r="G414" s="2">
        <v>6129</v>
      </c>
      <c r="H414" s="2" t="str">
        <f>_xlfn.XLOOKUP(E414, Product_Master!A:A, Product_Master!B:B)</f>
        <v>Headphones</v>
      </c>
      <c r="I414" s="2" t="str">
        <f>_xlfn.XLOOKUP(E414, Product_Master!A:A, Product_Master!C:C)</f>
        <v>Electronics</v>
      </c>
      <c r="J414" s="2">
        <f>_xlfn.XLOOKUP(E414, Product_Master!A:A, Product_Master!D:D)</f>
        <v>2000</v>
      </c>
      <c r="K414" s="2">
        <f t="shared" si="24"/>
        <v>6129</v>
      </c>
      <c r="L414" s="2">
        <f t="shared" si="25"/>
        <v>2000</v>
      </c>
      <c r="M414" s="2">
        <f t="shared" si="26"/>
        <v>4129</v>
      </c>
      <c r="N414" s="2">
        <f>_xlfn.XLOOKUP(D414, Sales_Rep_Master!A:A, Sales_Rep_Master!B:B)</f>
        <v>800000</v>
      </c>
      <c r="O414" s="4">
        <f t="shared" si="27"/>
        <v>7.6612499999999997E-3</v>
      </c>
    </row>
    <row r="415" spans="1:15" ht="15.75" x14ac:dyDescent="0.25">
      <c r="A415" s="3" t="s">
        <v>684</v>
      </c>
      <c r="B415" s="2" t="s">
        <v>141</v>
      </c>
      <c r="C415" s="2" t="s">
        <v>26</v>
      </c>
      <c r="D415" s="2" t="s">
        <v>37</v>
      </c>
      <c r="E415" s="2" t="s">
        <v>11</v>
      </c>
      <c r="F415" s="2">
        <v>4</v>
      </c>
      <c r="G415" s="2">
        <v>5567</v>
      </c>
      <c r="H415" s="2" t="str">
        <f>_xlfn.XLOOKUP(E415, Product_Master!A:A, Product_Master!B:B)</f>
        <v>Mobile</v>
      </c>
      <c r="I415" s="2" t="str">
        <f>_xlfn.XLOOKUP(E415, Product_Master!A:A, Product_Master!C:C)</f>
        <v>Electronics</v>
      </c>
      <c r="J415" s="2">
        <f>_xlfn.XLOOKUP(E415, Product_Master!A:A, Product_Master!D:D)</f>
        <v>18000</v>
      </c>
      <c r="K415" s="2">
        <f t="shared" si="24"/>
        <v>22268</v>
      </c>
      <c r="L415" s="2">
        <f t="shared" si="25"/>
        <v>72000</v>
      </c>
      <c r="M415" s="2">
        <f t="shared" si="26"/>
        <v>-49732</v>
      </c>
      <c r="N415" s="2">
        <f>_xlfn.XLOOKUP(D415, Sales_Rep_Master!A:A, Sales_Rep_Master!B:B)</f>
        <v>850000</v>
      </c>
      <c r="O415" s="4">
        <f t="shared" si="27"/>
        <v>2.619764705882353E-2</v>
      </c>
    </row>
    <row r="416" spans="1:15" ht="15.75" hidden="1" x14ac:dyDescent="0.25">
      <c r="A416" s="3" t="s">
        <v>685</v>
      </c>
      <c r="B416" s="2" t="s">
        <v>457</v>
      </c>
      <c r="C416" s="2" t="s">
        <v>18</v>
      </c>
      <c r="D416" s="2" t="s">
        <v>152</v>
      </c>
      <c r="E416" s="2" t="s">
        <v>23</v>
      </c>
      <c r="F416" s="2">
        <v>6</v>
      </c>
      <c r="G416" s="2">
        <v>5302</v>
      </c>
      <c r="H416" s="2" t="str">
        <f>_xlfn.XLOOKUP(E416, Product_Master!A:A, Product_Master!B:B)</f>
        <v>Sofa</v>
      </c>
      <c r="I416" s="2" t="str">
        <f>_xlfn.XLOOKUP(E416, Product_Master!A:A, Product_Master!C:C)</f>
        <v>Furniture</v>
      </c>
      <c r="J416" s="2">
        <f>_xlfn.XLOOKUP(E416, Product_Master!A:A, Product_Master!D:D)</f>
        <v>15000</v>
      </c>
      <c r="K416" s="2">
        <f t="shared" si="24"/>
        <v>31812</v>
      </c>
      <c r="L416" s="2">
        <f t="shared" si="25"/>
        <v>90000</v>
      </c>
      <c r="M416" s="2">
        <f t="shared" si="26"/>
        <v>-58188</v>
      </c>
      <c r="N416" s="2">
        <f>_xlfn.XLOOKUP(D416, Sales_Rep_Master!A:A, Sales_Rep_Master!B:B)</f>
        <v>870000</v>
      </c>
      <c r="O416" s="4">
        <f t="shared" si="27"/>
        <v>3.6565517241379311E-2</v>
      </c>
    </row>
    <row r="417" spans="1:15" ht="15.75" hidden="1" x14ac:dyDescent="0.25">
      <c r="A417" s="3" t="s">
        <v>686</v>
      </c>
      <c r="B417" s="2" t="s">
        <v>687</v>
      </c>
      <c r="C417" s="2" t="s">
        <v>26</v>
      </c>
      <c r="D417" s="2" t="s">
        <v>152</v>
      </c>
      <c r="E417" s="2" t="s">
        <v>61</v>
      </c>
      <c r="F417" s="2">
        <v>7</v>
      </c>
      <c r="G417" s="2">
        <v>1661</v>
      </c>
      <c r="H417" s="2" t="str">
        <f>_xlfn.XLOOKUP(E417, Product_Master!A:A, Product_Master!B:B)</f>
        <v>Shoes</v>
      </c>
      <c r="I417" s="2" t="str">
        <f>_xlfn.XLOOKUP(E417, Product_Master!A:A, Product_Master!C:C)</f>
        <v>Clothing</v>
      </c>
      <c r="J417" s="2">
        <f>_xlfn.XLOOKUP(E417, Product_Master!A:A, Product_Master!D:D)</f>
        <v>2000</v>
      </c>
      <c r="K417" s="2">
        <f t="shared" si="24"/>
        <v>11627</v>
      </c>
      <c r="L417" s="2">
        <f t="shared" si="25"/>
        <v>14000</v>
      </c>
      <c r="M417" s="2">
        <f t="shared" si="26"/>
        <v>-2373</v>
      </c>
      <c r="N417" s="2">
        <f>_xlfn.XLOOKUP(D417, Sales_Rep_Master!A:A, Sales_Rep_Master!B:B)</f>
        <v>870000</v>
      </c>
      <c r="O417" s="4">
        <f t="shared" si="27"/>
        <v>1.3364367816091955E-2</v>
      </c>
    </row>
    <row r="418" spans="1:15" ht="15.75" x14ac:dyDescent="0.25">
      <c r="A418" s="3" t="s">
        <v>688</v>
      </c>
      <c r="B418" s="2" t="s">
        <v>46</v>
      </c>
      <c r="C418" s="2" t="s">
        <v>33</v>
      </c>
      <c r="D418" s="2" t="s">
        <v>19</v>
      </c>
      <c r="E418" s="2" t="s">
        <v>11</v>
      </c>
      <c r="F418" s="2">
        <v>10</v>
      </c>
      <c r="G418" s="2">
        <v>2911</v>
      </c>
      <c r="H418" s="2" t="str">
        <f>_xlfn.XLOOKUP(E418, Product_Master!A:A, Product_Master!B:B)</f>
        <v>Mobile</v>
      </c>
      <c r="I418" s="2" t="str">
        <f>_xlfn.XLOOKUP(E418, Product_Master!A:A, Product_Master!C:C)</f>
        <v>Electronics</v>
      </c>
      <c r="J418" s="2">
        <f>_xlfn.XLOOKUP(E418, Product_Master!A:A, Product_Master!D:D)</f>
        <v>18000</v>
      </c>
      <c r="K418" s="2">
        <f t="shared" si="24"/>
        <v>29110</v>
      </c>
      <c r="L418" s="2">
        <f t="shared" si="25"/>
        <v>180000</v>
      </c>
      <c r="M418" s="2">
        <f t="shared" si="26"/>
        <v>-150890</v>
      </c>
      <c r="N418" s="2">
        <f>_xlfn.XLOOKUP(D418, Sales_Rep_Master!A:A, Sales_Rep_Master!B:B)</f>
        <v>950000</v>
      </c>
      <c r="O418" s="4">
        <f t="shared" si="27"/>
        <v>3.0642105263157894E-2</v>
      </c>
    </row>
    <row r="419" spans="1:15" ht="15.75" hidden="1" x14ac:dyDescent="0.25">
      <c r="A419" s="3" t="s">
        <v>689</v>
      </c>
      <c r="B419" s="2" t="s">
        <v>357</v>
      </c>
      <c r="C419" s="2" t="s">
        <v>18</v>
      </c>
      <c r="D419" s="2" t="s">
        <v>152</v>
      </c>
      <c r="E419" s="2" t="s">
        <v>15</v>
      </c>
      <c r="F419" s="2">
        <v>12</v>
      </c>
      <c r="G419" s="2">
        <v>5655</v>
      </c>
      <c r="H419" s="2" t="str">
        <f>_xlfn.XLOOKUP(E419, Product_Master!A:A, Product_Master!B:B)</f>
        <v>Chair</v>
      </c>
      <c r="I419" s="2" t="str">
        <f>_xlfn.XLOOKUP(E419, Product_Master!A:A, Product_Master!C:C)</f>
        <v>Furniture</v>
      </c>
      <c r="J419" s="2">
        <f>_xlfn.XLOOKUP(E419, Product_Master!A:A, Product_Master!D:D)</f>
        <v>2500</v>
      </c>
      <c r="K419" s="2">
        <f t="shared" si="24"/>
        <v>67860</v>
      </c>
      <c r="L419" s="2">
        <f t="shared" si="25"/>
        <v>30000</v>
      </c>
      <c r="M419" s="2">
        <f t="shared" si="26"/>
        <v>37860</v>
      </c>
      <c r="N419" s="2">
        <f>_xlfn.XLOOKUP(D419, Sales_Rep_Master!A:A, Sales_Rep_Master!B:B)</f>
        <v>870000</v>
      </c>
      <c r="O419" s="4">
        <f t="shared" si="27"/>
        <v>7.8E-2</v>
      </c>
    </row>
    <row r="420" spans="1:15" ht="15.75" hidden="1" x14ac:dyDescent="0.25">
      <c r="A420" s="3" t="s">
        <v>690</v>
      </c>
      <c r="B420" s="2" t="s">
        <v>691</v>
      </c>
      <c r="C420" s="2" t="s">
        <v>33</v>
      </c>
      <c r="D420" s="2" t="s">
        <v>14</v>
      </c>
      <c r="E420" s="2" t="s">
        <v>61</v>
      </c>
      <c r="F420" s="2">
        <v>15</v>
      </c>
      <c r="G420" s="2">
        <v>7022</v>
      </c>
      <c r="H420" s="2" t="str">
        <f>_xlfn.XLOOKUP(E420, Product_Master!A:A, Product_Master!B:B)</f>
        <v>Shoes</v>
      </c>
      <c r="I420" s="2" t="str">
        <f>_xlfn.XLOOKUP(E420, Product_Master!A:A, Product_Master!C:C)</f>
        <v>Clothing</v>
      </c>
      <c r="J420" s="2">
        <f>_xlfn.XLOOKUP(E420, Product_Master!A:A, Product_Master!D:D)</f>
        <v>2000</v>
      </c>
      <c r="K420" s="2">
        <f t="shared" si="24"/>
        <v>105330</v>
      </c>
      <c r="L420" s="2">
        <f t="shared" si="25"/>
        <v>30000</v>
      </c>
      <c r="M420" s="2">
        <f t="shared" si="26"/>
        <v>75330</v>
      </c>
      <c r="N420" s="2">
        <f>_xlfn.XLOOKUP(D420, Sales_Rep_Master!A:A, Sales_Rep_Master!B:B)</f>
        <v>880000</v>
      </c>
      <c r="O420" s="4">
        <f t="shared" si="27"/>
        <v>0.11969318181818182</v>
      </c>
    </row>
    <row r="421" spans="1:15" ht="15.75" hidden="1" x14ac:dyDescent="0.25">
      <c r="A421" s="3" t="s">
        <v>692</v>
      </c>
      <c r="B421" s="2" t="s">
        <v>693</v>
      </c>
      <c r="C421" s="2" t="s">
        <v>18</v>
      </c>
      <c r="D421" s="2" t="s">
        <v>37</v>
      </c>
      <c r="E421" s="2" t="s">
        <v>61</v>
      </c>
      <c r="F421" s="2">
        <v>5</v>
      </c>
      <c r="G421" s="2">
        <v>1879</v>
      </c>
      <c r="H421" s="2" t="str">
        <f>_xlfn.XLOOKUP(E421, Product_Master!A:A, Product_Master!B:B)</f>
        <v>Shoes</v>
      </c>
      <c r="I421" s="2" t="str">
        <f>_xlfn.XLOOKUP(E421, Product_Master!A:A, Product_Master!C:C)</f>
        <v>Clothing</v>
      </c>
      <c r="J421" s="2">
        <f>_xlfn.XLOOKUP(E421, Product_Master!A:A, Product_Master!D:D)</f>
        <v>2000</v>
      </c>
      <c r="K421" s="2">
        <f t="shared" si="24"/>
        <v>9395</v>
      </c>
      <c r="L421" s="2">
        <f t="shared" si="25"/>
        <v>10000</v>
      </c>
      <c r="M421" s="2">
        <f t="shared" si="26"/>
        <v>-605</v>
      </c>
      <c r="N421" s="2">
        <f>_xlfn.XLOOKUP(D421, Sales_Rep_Master!A:A, Sales_Rep_Master!B:B)</f>
        <v>850000</v>
      </c>
      <c r="O421" s="4">
        <f t="shared" si="27"/>
        <v>1.1052941176470588E-2</v>
      </c>
    </row>
    <row r="422" spans="1:15" ht="15.75" hidden="1" x14ac:dyDescent="0.25">
      <c r="A422" s="3" t="s">
        <v>694</v>
      </c>
      <c r="B422" s="2" t="s">
        <v>197</v>
      </c>
      <c r="C422" s="2" t="s">
        <v>18</v>
      </c>
      <c r="D422" s="2" t="s">
        <v>14</v>
      </c>
      <c r="E422" s="2" t="s">
        <v>61</v>
      </c>
      <c r="F422" s="2">
        <v>4</v>
      </c>
      <c r="G422" s="2">
        <v>3370</v>
      </c>
      <c r="H422" s="2" t="str">
        <f>_xlfn.XLOOKUP(E422, Product_Master!A:A, Product_Master!B:B)</f>
        <v>Shoes</v>
      </c>
      <c r="I422" s="2" t="str">
        <f>_xlfn.XLOOKUP(E422, Product_Master!A:A, Product_Master!C:C)</f>
        <v>Clothing</v>
      </c>
      <c r="J422" s="2">
        <f>_xlfn.XLOOKUP(E422, Product_Master!A:A, Product_Master!D:D)</f>
        <v>2000</v>
      </c>
      <c r="K422" s="2">
        <f t="shared" si="24"/>
        <v>13480</v>
      </c>
      <c r="L422" s="2">
        <f t="shared" si="25"/>
        <v>8000</v>
      </c>
      <c r="M422" s="2">
        <f t="shared" si="26"/>
        <v>5480</v>
      </c>
      <c r="N422" s="2">
        <f>_xlfn.XLOOKUP(D422, Sales_Rep_Master!A:A, Sales_Rep_Master!B:B)</f>
        <v>880000</v>
      </c>
      <c r="O422" s="4">
        <f t="shared" si="27"/>
        <v>1.5318181818181818E-2</v>
      </c>
    </row>
    <row r="423" spans="1:15" ht="15.75" hidden="1" x14ac:dyDescent="0.25">
      <c r="A423" s="3" t="s">
        <v>695</v>
      </c>
      <c r="B423" s="2" t="s">
        <v>696</v>
      </c>
      <c r="C423" s="2" t="s">
        <v>9</v>
      </c>
      <c r="D423" s="2" t="s">
        <v>27</v>
      </c>
      <c r="E423" s="2" t="s">
        <v>40</v>
      </c>
      <c r="F423" s="2">
        <v>8</v>
      </c>
      <c r="G423" s="2">
        <v>5214</v>
      </c>
      <c r="H423" s="2" t="str">
        <f>_xlfn.XLOOKUP(E423, Product_Master!A:A, Product_Master!B:B)</f>
        <v>Table</v>
      </c>
      <c r="I423" s="2" t="str">
        <f>_xlfn.XLOOKUP(E423, Product_Master!A:A, Product_Master!C:C)</f>
        <v>Furniture</v>
      </c>
      <c r="J423" s="2">
        <f>_xlfn.XLOOKUP(E423, Product_Master!A:A, Product_Master!D:D)</f>
        <v>7000</v>
      </c>
      <c r="K423" s="2">
        <f t="shared" si="24"/>
        <v>41712</v>
      </c>
      <c r="L423" s="2">
        <f t="shared" si="25"/>
        <v>56000</v>
      </c>
      <c r="M423" s="2">
        <f t="shared" si="26"/>
        <v>-14288</v>
      </c>
      <c r="N423" s="2">
        <f>_xlfn.XLOOKUP(D423, Sales_Rep_Master!A:A, Sales_Rep_Master!B:B)</f>
        <v>800000</v>
      </c>
      <c r="O423" s="4">
        <f t="shared" si="27"/>
        <v>5.2139999999999999E-2</v>
      </c>
    </row>
    <row r="424" spans="1:15" ht="15.75" x14ac:dyDescent="0.25">
      <c r="A424" s="3" t="s">
        <v>697</v>
      </c>
      <c r="B424" s="2" t="s">
        <v>698</v>
      </c>
      <c r="C424" s="2" t="s">
        <v>18</v>
      </c>
      <c r="D424" s="2" t="s">
        <v>54</v>
      </c>
      <c r="E424" s="2" t="s">
        <v>20</v>
      </c>
      <c r="F424" s="2">
        <v>4</v>
      </c>
      <c r="G424" s="2">
        <v>7601</v>
      </c>
      <c r="H424" s="2" t="str">
        <f>_xlfn.XLOOKUP(E424, Product_Master!A:A, Product_Master!B:B)</f>
        <v>Headphones</v>
      </c>
      <c r="I424" s="2" t="str">
        <f>_xlfn.XLOOKUP(E424, Product_Master!A:A, Product_Master!C:C)</f>
        <v>Electronics</v>
      </c>
      <c r="J424" s="2">
        <f>_xlfn.XLOOKUP(E424, Product_Master!A:A, Product_Master!D:D)</f>
        <v>2000</v>
      </c>
      <c r="K424" s="2">
        <f t="shared" si="24"/>
        <v>30404</v>
      </c>
      <c r="L424" s="2">
        <f t="shared" si="25"/>
        <v>8000</v>
      </c>
      <c r="M424" s="2">
        <f t="shared" si="26"/>
        <v>22404</v>
      </c>
      <c r="N424" s="2">
        <f>_xlfn.XLOOKUP(D424, Sales_Rep_Master!A:A, Sales_Rep_Master!B:B)</f>
        <v>890000</v>
      </c>
      <c r="O424" s="4">
        <f t="shared" si="27"/>
        <v>3.4161797752808989E-2</v>
      </c>
    </row>
    <row r="425" spans="1:15" ht="15.75" hidden="1" x14ac:dyDescent="0.25">
      <c r="A425" s="3" t="s">
        <v>699</v>
      </c>
      <c r="B425" s="2" t="s">
        <v>42</v>
      </c>
      <c r="C425" s="2" t="s">
        <v>33</v>
      </c>
      <c r="D425" s="2" t="s">
        <v>37</v>
      </c>
      <c r="E425" s="2" t="s">
        <v>40</v>
      </c>
      <c r="F425" s="2">
        <v>5</v>
      </c>
      <c r="G425" s="2">
        <v>7188</v>
      </c>
      <c r="H425" s="2" t="str">
        <f>_xlfn.XLOOKUP(E425, Product_Master!A:A, Product_Master!B:B)</f>
        <v>Table</v>
      </c>
      <c r="I425" s="2" t="str">
        <f>_xlfn.XLOOKUP(E425, Product_Master!A:A, Product_Master!C:C)</f>
        <v>Furniture</v>
      </c>
      <c r="J425" s="2">
        <f>_xlfn.XLOOKUP(E425, Product_Master!A:A, Product_Master!D:D)</f>
        <v>7000</v>
      </c>
      <c r="K425" s="2">
        <f t="shared" si="24"/>
        <v>35940</v>
      </c>
      <c r="L425" s="2">
        <f t="shared" si="25"/>
        <v>35000</v>
      </c>
      <c r="M425" s="2">
        <f t="shared" si="26"/>
        <v>940</v>
      </c>
      <c r="N425" s="2">
        <f>_xlfn.XLOOKUP(D425, Sales_Rep_Master!A:A, Sales_Rep_Master!B:B)</f>
        <v>850000</v>
      </c>
      <c r="O425" s="4">
        <f t="shared" si="27"/>
        <v>4.2282352941176472E-2</v>
      </c>
    </row>
    <row r="426" spans="1:15" ht="15.75" x14ac:dyDescent="0.25">
      <c r="A426" s="3" t="s">
        <v>700</v>
      </c>
      <c r="B426" s="2" t="s">
        <v>368</v>
      </c>
      <c r="C426" s="2" t="s">
        <v>9</v>
      </c>
      <c r="D426" s="2" t="s">
        <v>14</v>
      </c>
      <c r="E426" s="2" t="s">
        <v>11</v>
      </c>
      <c r="F426" s="2">
        <v>12</v>
      </c>
      <c r="G426" s="2">
        <v>5557</v>
      </c>
      <c r="H426" s="2" t="str">
        <f>_xlfn.XLOOKUP(E426, Product_Master!A:A, Product_Master!B:B)</f>
        <v>Mobile</v>
      </c>
      <c r="I426" s="2" t="str">
        <f>_xlfn.XLOOKUP(E426, Product_Master!A:A, Product_Master!C:C)</f>
        <v>Electronics</v>
      </c>
      <c r="J426" s="2">
        <f>_xlfn.XLOOKUP(E426, Product_Master!A:A, Product_Master!D:D)</f>
        <v>18000</v>
      </c>
      <c r="K426" s="2">
        <f t="shared" si="24"/>
        <v>66684</v>
      </c>
      <c r="L426" s="2">
        <f t="shared" si="25"/>
        <v>216000</v>
      </c>
      <c r="M426" s="2">
        <f t="shared" si="26"/>
        <v>-149316</v>
      </c>
      <c r="N426" s="2">
        <f>_xlfn.XLOOKUP(D426, Sales_Rep_Master!A:A, Sales_Rep_Master!B:B)</f>
        <v>880000</v>
      </c>
      <c r="O426" s="4">
        <f t="shared" si="27"/>
        <v>7.5777272727272721E-2</v>
      </c>
    </row>
    <row r="427" spans="1:15" ht="15.75" x14ac:dyDescent="0.25">
      <c r="A427" s="3" t="s">
        <v>701</v>
      </c>
      <c r="B427" s="2" t="s">
        <v>261</v>
      </c>
      <c r="C427" s="2" t="s">
        <v>26</v>
      </c>
      <c r="D427" s="2" t="s">
        <v>37</v>
      </c>
      <c r="E427" s="2" t="s">
        <v>11</v>
      </c>
      <c r="F427" s="2">
        <v>8</v>
      </c>
      <c r="G427" s="2">
        <v>1473</v>
      </c>
      <c r="H427" s="2" t="str">
        <f>_xlfn.XLOOKUP(E427, Product_Master!A:A, Product_Master!B:B)</f>
        <v>Mobile</v>
      </c>
      <c r="I427" s="2" t="str">
        <f>_xlfn.XLOOKUP(E427, Product_Master!A:A, Product_Master!C:C)</f>
        <v>Electronics</v>
      </c>
      <c r="J427" s="2">
        <f>_xlfn.XLOOKUP(E427, Product_Master!A:A, Product_Master!D:D)</f>
        <v>18000</v>
      </c>
      <c r="K427" s="2">
        <f t="shared" si="24"/>
        <v>11784</v>
      </c>
      <c r="L427" s="2">
        <f t="shared" si="25"/>
        <v>144000</v>
      </c>
      <c r="M427" s="2">
        <f t="shared" si="26"/>
        <v>-132216</v>
      </c>
      <c r="N427" s="2">
        <f>_xlfn.XLOOKUP(D427, Sales_Rep_Master!A:A, Sales_Rep_Master!B:B)</f>
        <v>850000</v>
      </c>
      <c r="O427" s="4">
        <f t="shared" si="27"/>
        <v>1.3863529411764705E-2</v>
      </c>
    </row>
    <row r="428" spans="1:15" ht="15.75" x14ac:dyDescent="0.25">
      <c r="A428" s="3" t="s">
        <v>702</v>
      </c>
      <c r="B428" s="2" t="s">
        <v>703</v>
      </c>
      <c r="C428" s="2" t="s">
        <v>9</v>
      </c>
      <c r="D428" s="2" t="s">
        <v>14</v>
      </c>
      <c r="E428" s="2" t="s">
        <v>28</v>
      </c>
      <c r="F428" s="2">
        <v>3</v>
      </c>
      <c r="G428" s="2">
        <v>1735</v>
      </c>
      <c r="H428" s="2" t="str">
        <f>_xlfn.XLOOKUP(E428, Product_Master!A:A, Product_Master!B:B)</f>
        <v>Laptop</v>
      </c>
      <c r="I428" s="2" t="str">
        <f>_xlfn.XLOOKUP(E428, Product_Master!A:A, Product_Master!C:C)</f>
        <v>Electronics</v>
      </c>
      <c r="J428" s="2">
        <f>_xlfn.XLOOKUP(E428, Product_Master!A:A, Product_Master!D:D)</f>
        <v>35000</v>
      </c>
      <c r="K428" s="2">
        <f t="shared" si="24"/>
        <v>5205</v>
      </c>
      <c r="L428" s="2">
        <f t="shared" si="25"/>
        <v>105000</v>
      </c>
      <c r="M428" s="2">
        <f t="shared" si="26"/>
        <v>-99795</v>
      </c>
      <c r="N428" s="2">
        <f>_xlfn.XLOOKUP(D428, Sales_Rep_Master!A:A, Sales_Rep_Master!B:B)</f>
        <v>880000</v>
      </c>
      <c r="O428" s="4">
        <f t="shared" si="27"/>
        <v>5.9147727272727268E-3</v>
      </c>
    </row>
    <row r="429" spans="1:15" ht="15.75" hidden="1" x14ac:dyDescent="0.25">
      <c r="A429" s="3" t="s">
        <v>704</v>
      </c>
      <c r="B429" s="2" t="s">
        <v>451</v>
      </c>
      <c r="C429" s="2" t="s">
        <v>33</v>
      </c>
      <c r="D429" s="2" t="s">
        <v>27</v>
      </c>
      <c r="E429" s="2" t="s">
        <v>61</v>
      </c>
      <c r="F429" s="2">
        <v>12</v>
      </c>
      <c r="G429" s="2">
        <v>5284</v>
      </c>
      <c r="H429" s="2" t="str">
        <f>_xlfn.XLOOKUP(E429, Product_Master!A:A, Product_Master!B:B)</f>
        <v>Shoes</v>
      </c>
      <c r="I429" s="2" t="str">
        <f>_xlfn.XLOOKUP(E429, Product_Master!A:A, Product_Master!C:C)</f>
        <v>Clothing</v>
      </c>
      <c r="J429" s="2">
        <f>_xlfn.XLOOKUP(E429, Product_Master!A:A, Product_Master!D:D)</f>
        <v>2000</v>
      </c>
      <c r="K429" s="2">
        <f t="shared" si="24"/>
        <v>63408</v>
      </c>
      <c r="L429" s="2">
        <f t="shared" si="25"/>
        <v>24000</v>
      </c>
      <c r="M429" s="2">
        <f t="shared" si="26"/>
        <v>39408</v>
      </c>
      <c r="N429" s="2">
        <f>_xlfn.XLOOKUP(D429, Sales_Rep_Master!A:A, Sales_Rep_Master!B:B)</f>
        <v>800000</v>
      </c>
      <c r="O429" s="4">
        <f t="shared" si="27"/>
        <v>7.9259999999999997E-2</v>
      </c>
    </row>
    <row r="430" spans="1:15" ht="15.75" x14ac:dyDescent="0.25">
      <c r="A430" s="3" t="s">
        <v>705</v>
      </c>
      <c r="B430" s="2" t="s">
        <v>466</v>
      </c>
      <c r="C430" s="2" t="s">
        <v>9</v>
      </c>
      <c r="D430" s="2" t="s">
        <v>51</v>
      </c>
      <c r="E430" s="2" t="s">
        <v>11</v>
      </c>
      <c r="F430" s="2">
        <v>12</v>
      </c>
      <c r="G430" s="2">
        <v>3629</v>
      </c>
      <c r="H430" s="2" t="str">
        <f>_xlfn.XLOOKUP(E430, Product_Master!A:A, Product_Master!B:B)</f>
        <v>Mobile</v>
      </c>
      <c r="I430" s="2" t="str">
        <f>_xlfn.XLOOKUP(E430, Product_Master!A:A, Product_Master!C:C)</f>
        <v>Electronics</v>
      </c>
      <c r="J430" s="2">
        <f>_xlfn.XLOOKUP(E430, Product_Master!A:A, Product_Master!D:D)</f>
        <v>18000</v>
      </c>
      <c r="K430" s="2">
        <f t="shared" si="24"/>
        <v>43548</v>
      </c>
      <c r="L430" s="2">
        <f t="shared" si="25"/>
        <v>216000</v>
      </c>
      <c r="M430" s="2">
        <f t="shared" si="26"/>
        <v>-172452</v>
      </c>
      <c r="N430" s="2">
        <f>_xlfn.XLOOKUP(D430, Sales_Rep_Master!A:A, Sales_Rep_Master!B:B)</f>
        <v>900000</v>
      </c>
      <c r="O430" s="4">
        <f t="shared" si="27"/>
        <v>4.8386666666666668E-2</v>
      </c>
    </row>
    <row r="431" spans="1:15" ht="15.75" hidden="1" x14ac:dyDescent="0.25">
      <c r="A431" s="3" t="s">
        <v>706</v>
      </c>
      <c r="B431" s="2" t="s">
        <v>451</v>
      </c>
      <c r="C431" s="2" t="s">
        <v>26</v>
      </c>
      <c r="D431" s="2" t="s">
        <v>10</v>
      </c>
      <c r="E431" s="2" t="s">
        <v>15</v>
      </c>
      <c r="F431" s="2">
        <v>13</v>
      </c>
      <c r="G431" s="2">
        <v>5449</v>
      </c>
      <c r="H431" s="2" t="str">
        <f>_xlfn.XLOOKUP(E431, Product_Master!A:A, Product_Master!B:B)</f>
        <v>Chair</v>
      </c>
      <c r="I431" s="2" t="str">
        <f>_xlfn.XLOOKUP(E431, Product_Master!A:A, Product_Master!C:C)</f>
        <v>Furniture</v>
      </c>
      <c r="J431" s="2">
        <f>_xlfn.XLOOKUP(E431, Product_Master!A:A, Product_Master!D:D)</f>
        <v>2500</v>
      </c>
      <c r="K431" s="2">
        <f t="shared" si="24"/>
        <v>70837</v>
      </c>
      <c r="L431" s="2">
        <f t="shared" si="25"/>
        <v>32500</v>
      </c>
      <c r="M431" s="2">
        <f t="shared" si="26"/>
        <v>38337</v>
      </c>
      <c r="N431" s="2">
        <f>_xlfn.XLOOKUP(D431, Sales_Rep_Master!A:A, Sales_Rep_Master!B:B)</f>
        <v>920000</v>
      </c>
      <c r="O431" s="4">
        <f t="shared" si="27"/>
        <v>7.6996739130434783E-2</v>
      </c>
    </row>
    <row r="432" spans="1:15" ht="15.75" hidden="1" x14ac:dyDescent="0.25">
      <c r="A432" s="3" t="s">
        <v>707</v>
      </c>
      <c r="B432" s="2" t="s">
        <v>635</v>
      </c>
      <c r="C432" s="2" t="s">
        <v>9</v>
      </c>
      <c r="D432" s="2" t="s">
        <v>14</v>
      </c>
      <c r="E432" s="2" t="s">
        <v>23</v>
      </c>
      <c r="F432" s="2">
        <v>11</v>
      </c>
      <c r="G432" s="2">
        <v>2977</v>
      </c>
      <c r="H432" s="2" t="str">
        <f>_xlfn.XLOOKUP(E432, Product_Master!A:A, Product_Master!B:B)</f>
        <v>Sofa</v>
      </c>
      <c r="I432" s="2" t="str">
        <f>_xlfn.XLOOKUP(E432, Product_Master!A:A, Product_Master!C:C)</f>
        <v>Furniture</v>
      </c>
      <c r="J432" s="2">
        <f>_xlfn.XLOOKUP(E432, Product_Master!A:A, Product_Master!D:D)</f>
        <v>15000</v>
      </c>
      <c r="K432" s="2">
        <f t="shared" si="24"/>
        <v>32747</v>
      </c>
      <c r="L432" s="2">
        <f t="shared" si="25"/>
        <v>165000</v>
      </c>
      <c r="M432" s="2">
        <f t="shared" si="26"/>
        <v>-132253</v>
      </c>
      <c r="N432" s="2">
        <f>_xlfn.XLOOKUP(D432, Sales_Rep_Master!A:A, Sales_Rep_Master!B:B)</f>
        <v>880000</v>
      </c>
      <c r="O432" s="4">
        <f t="shared" si="27"/>
        <v>3.7212500000000003E-2</v>
      </c>
    </row>
    <row r="433" spans="1:15" ht="15.75" hidden="1" x14ac:dyDescent="0.25">
      <c r="A433" s="3" t="s">
        <v>708</v>
      </c>
      <c r="B433" s="2" t="s">
        <v>91</v>
      </c>
      <c r="C433" s="2" t="s">
        <v>33</v>
      </c>
      <c r="D433" s="2" t="s">
        <v>51</v>
      </c>
      <c r="E433" s="2" t="s">
        <v>23</v>
      </c>
      <c r="F433" s="2">
        <v>8</v>
      </c>
      <c r="G433" s="2">
        <v>2039</v>
      </c>
      <c r="H433" s="2" t="str">
        <f>_xlfn.XLOOKUP(E433, Product_Master!A:A, Product_Master!B:B)</f>
        <v>Sofa</v>
      </c>
      <c r="I433" s="2" t="str">
        <f>_xlfn.XLOOKUP(E433, Product_Master!A:A, Product_Master!C:C)</f>
        <v>Furniture</v>
      </c>
      <c r="J433" s="2">
        <f>_xlfn.XLOOKUP(E433, Product_Master!A:A, Product_Master!D:D)</f>
        <v>15000</v>
      </c>
      <c r="K433" s="2">
        <f t="shared" si="24"/>
        <v>16312</v>
      </c>
      <c r="L433" s="2">
        <f t="shared" si="25"/>
        <v>120000</v>
      </c>
      <c r="M433" s="2">
        <f t="shared" si="26"/>
        <v>-103688</v>
      </c>
      <c r="N433" s="2">
        <f>_xlfn.XLOOKUP(D433, Sales_Rep_Master!A:A, Sales_Rep_Master!B:B)</f>
        <v>900000</v>
      </c>
      <c r="O433" s="4">
        <f t="shared" si="27"/>
        <v>1.8124444444444443E-2</v>
      </c>
    </row>
    <row r="434" spans="1:15" ht="15.75" hidden="1" x14ac:dyDescent="0.25">
      <c r="A434" s="3" t="s">
        <v>709</v>
      </c>
      <c r="B434" s="2" t="s">
        <v>673</v>
      </c>
      <c r="C434" s="2" t="s">
        <v>9</v>
      </c>
      <c r="D434" s="2" t="s">
        <v>10</v>
      </c>
      <c r="E434" s="2" t="s">
        <v>61</v>
      </c>
      <c r="F434" s="2">
        <v>11</v>
      </c>
      <c r="G434" s="2">
        <v>5267</v>
      </c>
      <c r="H434" s="2" t="str">
        <f>_xlfn.XLOOKUP(E434, Product_Master!A:A, Product_Master!B:B)</f>
        <v>Shoes</v>
      </c>
      <c r="I434" s="2" t="str">
        <f>_xlfn.XLOOKUP(E434, Product_Master!A:A, Product_Master!C:C)</f>
        <v>Clothing</v>
      </c>
      <c r="J434" s="2">
        <f>_xlfn.XLOOKUP(E434, Product_Master!A:A, Product_Master!D:D)</f>
        <v>2000</v>
      </c>
      <c r="K434" s="2">
        <f t="shared" si="24"/>
        <v>57937</v>
      </c>
      <c r="L434" s="2">
        <f t="shared" si="25"/>
        <v>22000</v>
      </c>
      <c r="M434" s="2">
        <f t="shared" si="26"/>
        <v>35937</v>
      </c>
      <c r="N434" s="2">
        <f>_xlfn.XLOOKUP(D434, Sales_Rep_Master!A:A, Sales_Rep_Master!B:B)</f>
        <v>920000</v>
      </c>
      <c r="O434" s="4">
        <f t="shared" si="27"/>
        <v>6.2975000000000003E-2</v>
      </c>
    </row>
    <row r="435" spans="1:15" ht="15.75" hidden="1" x14ac:dyDescent="0.25">
      <c r="A435" s="3" t="s">
        <v>710</v>
      </c>
      <c r="B435" s="2" t="s">
        <v>711</v>
      </c>
      <c r="C435" s="2" t="s">
        <v>9</v>
      </c>
      <c r="D435" s="2" t="s">
        <v>152</v>
      </c>
      <c r="E435" s="2" t="s">
        <v>61</v>
      </c>
      <c r="F435" s="2">
        <v>4</v>
      </c>
      <c r="G435" s="2">
        <v>6753</v>
      </c>
      <c r="H435" s="2" t="str">
        <f>_xlfn.XLOOKUP(E435, Product_Master!A:A, Product_Master!B:B)</f>
        <v>Shoes</v>
      </c>
      <c r="I435" s="2" t="str">
        <f>_xlfn.XLOOKUP(E435, Product_Master!A:A, Product_Master!C:C)</f>
        <v>Clothing</v>
      </c>
      <c r="J435" s="2">
        <f>_xlfn.XLOOKUP(E435, Product_Master!A:A, Product_Master!D:D)</f>
        <v>2000</v>
      </c>
      <c r="K435" s="2">
        <f t="shared" si="24"/>
        <v>27012</v>
      </c>
      <c r="L435" s="2">
        <f t="shared" si="25"/>
        <v>8000</v>
      </c>
      <c r="M435" s="2">
        <f t="shared" si="26"/>
        <v>19012</v>
      </c>
      <c r="N435" s="2">
        <f>_xlfn.XLOOKUP(D435, Sales_Rep_Master!A:A, Sales_Rep_Master!B:B)</f>
        <v>870000</v>
      </c>
      <c r="O435" s="4">
        <f t="shared" si="27"/>
        <v>3.1048275862068965E-2</v>
      </c>
    </row>
    <row r="436" spans="1:15" ht="15.75" x14ac:dyDescent="0.25">
      <c r="A436" s="3" t="s">
        <v>712</v>
      </c>
      <c r="B436" s="2" t="s">
        <v>713</v>
      </c>
      <c r="C436" s="2" t="s">
        <v>9</v>
      </c>
      <c r="D436" s="2" t="s">
        <v>152</v>
      </c>
      <c r="E436" s="2" t="s">
        <v>20</v>
      </c>
      <c r="F436" s="2">
        <v>14</v>
      </c>
      <c r="G436" s="2">
        <v>4007</v>
      </c>
      <c r="H436" s="2" t="str">
        <f>_xlfn.XLOOKUP(E436, Product_Master!A:A, Product_Master!B:B)</f>
        <v>Headphones</v>
      </c>
      <c r="I436" s="2" t="str">
        <f>_xlfn.XLOOKUP(E436, Product_Master!A:A, Product_Master!C:C)</f>
        <v>Electronics</v>
      </c>
      <c r="J436" s="2">
        <f>_xlfn.XLOOKUP(E436, Product_Master!A:A, Product_Master!D:D)</f>
        <v>2000</v>
      </c>
      <c r="K436" s="2">
        <f t="shared" si="24"/>
        <v>56098</v>
      </c>
      <c r="L436" s="2">
        <f t="shared" si="25"/>
        <v>28000</v>
      </c>
      <c r="M436" s="2">
        <f t="shared" si="26"/>
        <v>28098</v>
      </c>
      <c r="N436" s="2">
        <f>_xlfn.XLOOKUP(D436, Sales_Rep_Master!A:A, Sales_Rep_Master!B:B)</f>
        <v>870000</v>
      </c>
      <c r="O436" s="4">
        <f t="shared" si="27"/>
        <v>6.4480459770114948E-2</v>
      </c>
    </row>
    <row r="437" spans="1:15" ht="15.75" x14ac:dyDescent="0.25">
      <c r="A437" s="3" t="s">
        <v>714</v>
      </c>
      <c r="B437" s="2" t="s">
        <v>715</v>
      </c>
      <c r="C437" s="2" t="s">
        <v>33</v>
      </c>
      <c r="D437" s="2" t="s">
        <v>14</v>
      </c>
      <c r="E437" s="2" t="s">
        <v>28</v>
      </c>
      <c r="F437" s="2">
        <v>4</v>
      </c>
      <c r="G437" s="2">
        <v>1331</v>
      </c>
      <c r="H437" s="2" t="str">
        <f>_xlfn.XLOOKUP(E437, Product_Master!A:A, Product_Master!B:B)</f>
        <v>Laptop</v>
      </c>
      <c r="I437" s="2" t="str">
        <f>_xlfn.XLOOKUP(E437, Product_Master!A:A, Product_Master!C:C)</f>
        <v>Electronics</v>
      </c>
      <c r="J437" s="2">
        <f>_xlfn.XLOOKUP(E437, Product_Master!A:A, Product_Master!D:D)</f>
        <v>35000</v>
      </c>
      <c r="K437" s="2">
        <f t="shared" si="24"/>
        <v>5324</v>
      </c>
      <c r="L437" s="2">
        <f t="shared" si="25"/>
        <v>140000</v>
      </c>
      <c r="M437" s="2">
        <f t="shared" si="26"/>
        <v>-134676</v>
      </c>
      <c r="N437" s="2">
        <f>_xlfn.XLOOKUP(D437, Sales_Rep_Master!A:A, Sales_Rep_Master!B:B)</f>
        <v>880000</v>
      </c>
      <c r="O437" s="4">
        <f t="shared" si="27"/>
        <v>6.0499999999999998E-3</v>
      </c>
    </row>
    <row r="438" spans="1:15" ht="15.75" hidden="1" x14ac:dyDescent="0.25">
      <c r="A438" s="3" t="s">
        <v>716</v>
      </c>
      <c r="B438" s="2" t="s">
        <v>222</v>
      </c>
      <c r="C438" s="2" t="s">
        <v>26</v>
      </c>
      <c r="D438" s="2" t="s">
        <v>54</v>
      </c>
      <c r="E438" s="2" t="s">
        <v>23</v>
      </c>
      <c r="F438" s="2">
        <v>9</v>
      </c>
      <c r="G438" s="2">
        <v>7756</v>
      </c>
      <c r="H438" s="2" t="str">
        <f>_xlfn.XLOOKUP(E438, Product_Master!A:A, Product_Master!B:B)</f>
        <v>Sofa</v>
      </c>
      <c r="I438" s="2" t="str">
        <f>_xlfn.XLOOKUP(E438, Product_Master!A:A, Product_Master!C:C)</f>
        <v>Furniture</v>
      </c>
      <c r="J438" s="2">
        <f>_xlfn.XLOOKUP(E438, Product_Master!A:A, Product_Master!D:D)</f>
        <v>15000</v>
      </c>
      <c r="K438" s="2">
        <f t="shared" si="24"/>
        <v>69804</v>
      </c>
      <c r="L438" s="2">
        <f t="shared" si="25"/>
        <v>135000</v>
      </c>
      <c r="M438" s="2">
        <f t="shared" si="26"/>
        <v>-65196</v>
      </c>
      <c r="N438" s="2">
        <f>_xlfn.XLOOKUP(D438, Sales_Rep_Master!A:A, Sales_Rep_Master!B:B)</f>
        <v>890000</v>
      </c>
      <c r="O438" s="4">
        <f t="shared" si="27"/>
        <v>7.8431460674157308E-2</v>
      </c>
    </row>
    <row r="439" spans="1:15" ht="15.75" x14ac:dyDescent="0.25">
      <c r="A439" s="3" t="s">
        <v>717</v>
      </c>
      <c r="B439" s="2" t="s">
        <v>718</v>
      </c>
      <c r="C439" s="2" t="s">
        <v>18</v>
      </c>
      <c r="D439" s="2" t="s">
        <v>10</v>
      </c>
      <c r="E439" s="2" t="s">
        <v>20</v>
      </c>
      <c r="F439" s="2">
        <v>3</v>
      </c>
      <c r="G439" s="2">
        <v>3721</v>
      </c>
      <c r="H439" s="2" t="str">
        <f>_xlfn.XLOOKUP(E439, Product_Master!A:A, Product_Master!B:B)</f>
        <v>Headphones</v>
      </c>
      <c r="I439" s="2" t="str">
        <f>_xlfn.XLOOKUP(E439, Product_Master!A:A, Product_Master!C:C)</f>
        <v>Electronics</v>
      </c>
      <c r="J439" s="2">
        <f>_xlfn.XLOOKUP(E439, Product_Master!A:A, Product_Master!D:D)</f>
        <v>2000</v>
      </c>
      <c r="K439" s="2">
        <f t="shared" si="24"/>
        <v>11163</v>
      </c>
      <c r="L439" s="2">
        <f t="shared" si="25"/>
        <v>6000</v>
      </c>
      <c r="M439" s="2">
        <f t="shared" si="26"/>
        <v>5163</v>
      </c>
      <c r="N439" s="2">
        <f>_xlfn.XLOOKUP(D439, Sales_Rep_Master!A:A, Sales_Rep_Master!B:B)</f>
        <v>920000</v>
      </c>
      <c r="O439" s="4">
        <f t="shared" si="27"/>
        <v>1.2133695652173914E-2</v>
      </c>
    </row>
    <row r="440" spans="1:15" ht="15.75" hidden="1" x14ac:dyDescent="0.25">
      <c r="A440" s="3" t="s">
        <v>719</v>
      </c>
      <c r="B440" s="2" t="s">
        <v>720</v>
      </c>
      <c r="C440" s="2" t="s">
        <v>18</v>
      </c>
      <c r="D440" s="2" t="s">
        <v>51</v>
      </c>
      <c r="E440" s="2" t="s">
        <v>15</v>
      </c>
      <c r="F440" s="2">
        <v>11</v>
      </c>
      <c r="G440" s="2">
        <v>5495</v>
      </c>
      <c r="H440" s="2" t="str">
        <f>_xlfn.XLOOKUP(E440, Product_Master!A:A, Product_Master!B:B)</f>
        <v>Chair</v>
      </c>
      <c r="I440" s="2" t="str">
        <f>_xlfn.XLOOKUP(E440, Product_Master!A:A, Product_Master!C:C)</f>
        <v>Furniture</v>
      </c>
      <c r="J440" s="2">
        <f>_xlfn.XLOOKUP(E440, Product_Master!A:A, Product_Master!D:D)</f>
        <v>2500</v>
      </c>
      <c r="K440" s="2">
        <f t="shared" si="24"/>
        <v>60445</v>
      </c>
      <c r="L440" s="2">
        <f t="shared" si="25"/>
        <v>27500</v>
      </c>
      <c r="M440" s="2">
        <f t="shared" si="26"/>
        <v>32945</v>
      </c>
      <c r="N440" s="2">
        <f>_xlfn.XLOOKUP(D440, Sales_Rep_Master!A:A, Sales_Rep_Master!B:B)</f>
        <v>900000</v>
      </c>
      <c r="O440" s="4">
        <f t="shared" si="27"/>
        <v>6.7161111111111116E-2</v>
      </c>
    </row>
    <row r="441" spans="1:15" ht="15.75" x14ac:dyDescent="0.25">
      <c r="A441" s="3" t="s">
        <v>721</v>
      </c>
      <c r="B441" s="2" t="s">
        <v>722</v>
      </c>
      <c r="C441" s="2" t="s">
        <v>18</v>
      </c>
      <c r="D441" s="2" t="s">
        <v>51</v>
      </c>
      <c r="E441" s="2" t="s">
        <v>28</v>
      </c>
      <c r="F441" s="2">
        <v>6</v>
      </c>
      <c r="G441" s="2">
        <v>4915</v>
      </c>
      <c r="H441" s="2" t="str">
        <f>_xlfn.XLOOKUP(E441, Product_Master!A:A, Product_Master!B:B)</f>
        <v>Laptop</v>
      </c>
      <c r="I441" s="2" t="str">
        <f>_xlfn.XLOOKUP(E441, Product_Master!A:A, Product_Master!C:C)</f>
        <v>Electronics</v>
      </c>
      <c r="J441" s="2">
        <f>_xlfn.XLOOKUP(E441, Product_Master!A:A, Product_Master!D:D)</f>
        <v>35000</v>
      </c>
      <c r="K441" s="2">
        <f t="shared" si="24"/>
        <v>29490</v>
      </c>
      <c r="L441" s="2">
        <f t="shared" si="25"/>
        <v>210000</v>
      </c>
      <c r="M441" s="2">
        <f t="shared" si="26"/>
        <v>-180510</v>
      </c>
      <c r="N441" s="2">
        <f>_xlfn.XLOOKUP(D441, Sales_Rep_Master!A:A, Sales_Rep_Master!B:B)</f>
        <v>900000</v>
      </c>
      <c r="O441" s="4">
        <f t="shared" si="27"/>
        <v>3.2766666666666666E-2</v>
      </c>
    </row>
    <row r="442" spans="1:15" ht="15.75" hidden="1" x14ac:dyDescent="0.25">
      <c r="A442" s="3" t="s">
        <v>723</v>
      </c>
      <c r="B442" s="2" t="s">
        <v>724</v>
      </c>
      <c r="C442" s="2" t="s">
        <v>26</v>
      </c>
      <c r="D442" s="2" t="s">
        <v>27</v>
      </c>
      <c r="E442" s="2" t="s">
        <v>15</v>
      </c>
      <c r="F442" s="2">
        <v>4</v>
      </c>
      <c r="G442" s="2">
        <v>5387</v>
      </c>
      <c r="H442" s="2" t="str">
        <f>_xlfn.XLOOKUP(E442, Product_Master!A:A, Product_Master!B:B)</f>
        <v>Chair</v>
      </c>
      <c r="I442" s="2" t="str">
        <f>_xlfn.XLOOKUP(E442, Product_Master!A:A, Product_Master!C:C)</f>
        <v>Furniture</v>
      </c>
      <c r="J442" s="2">
        <f>_xlfn.XLOOKUP(E442, Product_Master!A:A, Product_Master!D:D)</f>
        <v>2500</v>
      </c>
      <c r="K442" s="2">
        <f t="shared" si="24"/>
        <v>21548</v>
      </c>
      <c r="L442" s="2">
        <f t="shared" si="25"/>
        <v>10000</v>
      </c>
      <c r="M442" s="2">
        <f t="shared" si="26"/>
        <v>11548</v>
      </c>
      <c r="N442" s="2">
        <f>_xlfn.XLOOKUP(D442, Sales_Rep_Master!A:A, Sales_Rep_Master!B:B)</f>
        <v>800000</v>
      </c>
      <c r="O442" s="4">
        <f t="shared" si="27"/>
        <v>2.6935000000000001E-2</v>
      </c>
    </row>
    <row r="443" spans="1:15" ht="15.75" hidden="1" x14ac:dyDescent="0.25">
      <c r="A443" s="3" t="s">
        <v>725</v>
      </c>
      <c r="B443" s="2" t="s">
        <v>184</v>
      </c>
      <c r="C443" s="2" t="s">
        <v>18</v>
      </c>
      <c r="D443" s="2" t="s">
        <v>19</v>
      </c>
      <c r="E443" s="2" t="s">
        <v>34</v>
      </c>
      <c r="F443" s="2">
        <v>12</v>
      </c>
      <c r="G443" s="2">
        <v>4142</v>
      </c>
      <c r="H443" s="2" t="str">
        <f>_xlfn.XLOOKUP(E443, Product_Master!A:A, Product_Master!B:B)</f>
        <v>Jacket</v>
      </c>
      <c r="I443" s="2" t="str">
        <f>_xlfn.XLOOKUP(E443, Product_Master!A:A, Product_Master!C:C)</f>
        <v>Clothing</v>
      </c>
      <c r="J443" s="2">
        <f>_xlfn.XLOOKUP(E443, Product_Master!A:A, Product_Master!D:D)</f>
        <v>1500</v>
      </c>
      <c r="K443" s="2">
        <f t="shared" si="24"/>
        <v>49704</v>
      </c>
      <c r="L443" s="2">
        <f t="shared" si="25"/>
        <v>18000</v>
      </c>
      <c r="M443" s="2">
        <f t="shared" si="26"/>
        <v>31704</v>
      </c>
      <c r="N443" s="2">
        <f>_xlfn.XLOOKUP(D443, Sales_Rep_Master!A:A, Sales_Rep_Master!B:B)</f>
        <v>950000</v>
      </c>
      <c r="O443" s="4">
        <f t="shared" si="27"/>
        <v>5.2319999999999998E-2</v>
      </c>
    </row>
    <row r="444" spans="1:15" ht="15.75" hidden="1" x14ac:dyDescent="0.25">
      <c r="A444" s="3" t="s">
        <v>726</v>
      </c>
      <c r="B444" s="2" t="s">
        <v>25</v>
      </c>
      <c r="C444" s="2" t="s">
        <v>33</v>
      </c>
      <c r="D444" s="2" t="s">
        <v>10</v>
      </c>
      <c r="E444" s="2" t="s">
        <v>34</v>
      </c>
      <c r="F444" s="2">
        <v>6</v>
      </c>
      <c r="G444" s="2">
        <v>7481</v>
      </c>
      <c r="H444" s="2" t="str">
        <f>_xlfn.XLOOKUP(E444, Product_Master!A:A, Product_Master!B:B)</f>
        <v>Jacket</v>
      </c>
      <c r="I444" s="2" t="str">
        <f>_xlfn.XLOOKUP(E444, Product_Master!A:A, Product_Master!C:C)</f>
        <v>Clothing</v>
      </c>
      <c r="J444" s="2">
        <f>_xlfn.XLOOKUP(E444, Product_Master!A:A, Product_Master!D:D)</f>
        <v>1500</v>
      </c>
      <c r="K444" s="2">
        <f t="shared" si="24"/>
        <v>44886</v>
      </c>
      <c r="L444" s="2">
        <f t="shared" si="25"/>
        <v>9000</v>
      </c>
      <c r="M444" s="2">
        <f t="shared" si="26"/>
        <v>35886</v>
      </c>
      <c r="N444" s="2">
        <f>_xlfn.XLOOKUP(D444, Sales_Rep_Master!A:A, Sales_Rep_Master!B:B)</f>
        <v>920000</v>
      </c>
      <c r="O444" s="4">
        <f t="shared" si="27"/>
        <v>4.8789130434782606E-2</v>
      </c>
    </row>
    <row r="445" spans="1:15" ht="15.75" hidden="1" x14ac:dyDescent="0.25">
      <c r="A445" s="3" t="s">
        <v>727</v>
      </c>
      <c r="B445" s="2" t="s">
        <v>596</v>
      </c>
      <c r="C445" s="2" t="s">
        <v>26</v>
      </c>
      <c r="D445" s="2" t="s">
        <v>10</v>
      </c>
      <c r="E445" s="2" t="s">
        <v>40</v>
      </c>
      <c r="F445" s="2">
        <v>10</v>
      </c>
      <c r="G445" s="2">
        <v>706</v>
      </c>
      <c r="H445" s="2" t="str">
        <f>_xlfn.XLOOKUP(E445, Product_Master!A:A, Product_Master!B:B)</f>
        <v>Table</v>
      </c>
      <c r="I445" s="2" t="str">
        <f>_xlfn.XLOOKUP(E445, Product_Master!A:A, Product_Master!C:C)</f>
        <v>Furniture</v>
      </c>
      <c r="J445" s="2">
        <f>_xlfn.XLOOKUP(E445, Product_Master!A:A, Product_Master!D:D)</f>
        <v>7000</v>
      </c>
      <c r="K445" s="2">
        <f t="shared" si="24"/>
        <v>7060</v>
      </c>
      <c r="L445" s="2">
        <f t="shared" si="25"/>
        <v>70000</v>
      </c>
      <c r="M445" s="2">
        <f t="shared" si="26"/>
        <v>-62940</v>
      </c>
      <c r="N445" s="2">
        <f>_xlfn.XLOOKUP(D445, Sales_Rep_Master!A:A, Sales_Rep_Master!B:B)</f>
        <v>920000</v>
      </c>
      <c r="O445" s="4">
        <f t="shared" si="27"/>
        <v>7.673913043478261E-3</v>
      </c>
    </row>
    <row r="446" spans="1:15" ht="15.75" x14ac:dyDescent="0.25">
      <c r="A446" s="3" t="s">
        <v>728</v>
      </c>
      <c r="B446" s="2" t="s">
        <v>557</v>
      </c>
      <c r="C446" s="2" t="s">
        <v>18</v>
      </c>
      <c r="D446" s="2" t="s">
        <v>54</v>
      </c>
      <c r="E446" s="2" t="s">
        <v>20</v>
      </c>
      <c r="F446" s="2">
        <v>2</v>
      </c>
      <c r="G446" s="2">
        <v>2788</v>
      </c>
      <c r="H446" s="2" t="str">
        <f>_xlfn.XLOOKUP(E446, Product_Master!A:A, Product_Master!B:B)</f>
        <v>Headphones</v>
      </c>
      <c r="I446" s="2" t="str">
        <f>_xlfn.XLOOKUP(E446, Product_Master!A:A, Product_Master!C:C)</f>
        <v>Electronics</v>
      </c>
      <c r="J446" s="2">
        <f>_xlfn.XLOOKUP(E446, Product_Master!A:A, Product_Master!D:D)</f>
        <v>2000</v>
      </c>
      <c r="K446" s="2">
        <f t="shared" si="24"/>
        <v>5576</v>
      </c>
      <c r="L446" s="2">
        <f t="shared" si="25"/>
        <v>4000</v>
      </c>
      <c r="M446" s="2">
        <f t="shared" si="26"/>
        <v>1576</v>
      </c>
      <c r="N446" s="2">
        <f>_xlfn.XLOOKUP(D446, Sales_Rep_Master!A:A, Sales_Rep_Master!B:B)</f>
        <v>890000</v>
      </c>
      <c r="O446" s="4">
        <f t="shared" si="27"/>
        <v>6.2651685393258424E-3</v>
      </c>
    </row>
    <row r="447" spans="1:15" ht="15.75" x14ac:dyDescent="0.25">
      <c r="A447" s="3" t="s">
        <v>729</v>
      </c>
      <c r="B447" s="2" t="s">
        <v>175</v>
      </c>
      <c r="C447" s="2" t="s">
        <v>9</v>
      </c>
      <c r="D447" s="2" t="s">
        <v>54</v>
      </c>
      <c r="E447" s="2" t="s">
        <v>20</v>
      </c>
      <c r="F447" s="2">
        <v>13</v>
      </c>
      <c r="G447" s="2">
        <v>664</v>
      </c>
      <c r="H447" s="2" t="str">
        <f>_xlfn.XLOOKUP(E447, Product_Master!A:A, Product_Master!B:B)</f>
        <v>Headphones</v>
      </c>
      <c r="I447" s="2" t="str">
        <f>_xlfn.XLOOKUP(E447, Product_Master!A:A, Product_Master!C:C)</f>
        <v>Electronics</v>
      </c>
      <c r="J447" s="2">
        <f>_xlfn.XLOOKUP(E447, Product_Master!A:A, Product_Master!D:D)</f>
        <v>2000</v>
      </c>
      <c r="K447" s="2">
        <f t="shared" si="24"/>
        <v>8632</v>
      </c>
      <c r="L447" s="2">
        <f t="shared" si="25"/>
        <v>26000</v>
      </c>
      <c r="M447" s="2">
        <f t="shared" si="26"/>
        <v>-17368</v>
      </c>
      <c r="N447" s="2">
        <f>_xlfn.XLOOKUP(D447, Sales_Rep_Master!A:A, Sales_Rep_Master!B:B)</f>
        <v>890000</v>
      </c>
      <c r="O447" s="4">
        <f t="shared" si="27"/>
        <v>9.6988764044943828E-3</v>
      </c>
    </row>
    <row r="448" spans="1:15" ht="15.75" x14ac:dyDescent="0.25">
      <c r="A448" s="3" t="s">
        <v>730</v>
      </c>
      <c r="B448" s="2" t="s">
        <v>731</v>
      </c>
      <c r="C448" s="2" t="s">
        <v>9</v>
      </c>
      <c r="D448" s="2" t="s">
        <v>152</v>
      </c>
      <c r="E448" s="2" t="s">
        <v>28</v>
      </c>
      <c r="F448" s="2">
        <v>1</v>
      </c>
      <c r="G448" s="2">
        <v>3628</v>
      </c>
      <c r="H448" s="2" t="str">
        <f>_xlfn.XLOOKUP(E448, Product_Master!A:A, Product_Master!B:B)</f>
        <v>Laptop</v>
      </c>
      <c r="I448" s="2" t="str">
        <f>_xlfn.XLOOKUP(E448, Product_Master!A:A, Product_Master!C:C)</f>
        <v>Electronics</v>
      </c>
      <c r="J448" s="2">
        <f>_xlfn.XLOOKUP(E448, Product_Master!A:A, Product_Master!D:D)</f>
        <v>35000</v>
      </c>
      <c r="K448" s="2">
        <f t="shared" si="24"/>
        <v>3628</v>
      </c>
      <c r="L448" s="2">
        <f t="shared" si="25"/>
        <v>35000</v>
      </c>
      <c r="M448" s="2">
        <f t="shared" si="26"/>
        <v>-31372</v>
      </c>
      <c r="N448" s="2">
        <f>_xlfn.XLOOKUP(D448, Sales_Rep_Master!A:A, Sales_Rep_Master!B:B)</f>
        <v>870000</v>
      </c>
      <c r="O448" s="4">
        <f t="shared" si="27"/>
        <v>4.1701149425287356E-3</v>
      </c>
    </row>
    <row r="449" spans="1:15" ht="15.75" hidden="1" x14ac:dyDescent="0.25">
      <c r="A449" s="3" t="s">
        <v>732</v>
      </c>
      <c r="B449" s="2" t="s">
        <v>293</v>
      </c>
      <c r="C449" s="2" t="s">
        <v>18</v>
      </c>
      <c r="D449" s="2" t="s">
        <v>51</v>
      </c>
      <c r="E449" s="2" t="s">
        <v>40</v>
      </c>
      <c r="F449" s="2">
        <v>1</v>
      </c>
      <c r="G449" s="2">
        <v>3622</v>
      </c>
      <c r="H449" s="2" t="str">
        <f>_xlfn.XLOOKUP(E449, Product_Master!A:A, Product_Master!B:B)</f>
        <v>Table</v>
      </c>
      <c r="I449" s="2" t="str">
        <f>_xlfn.XLOOKUP(E449, Product_Master!A:A, Product_Master!C:C)</f>
        <v>Furniture</v>
      </c>
      <c r="J449" s="2">
        <f>_xlfn.XLOOKUP(E449, Product_Master!A:A, Product_Master!D:D)</f>
        <v>7000</v>
      </c>
      <c r="K449" s="2">
        <f t="shared" si="24"/>
        <v>3622</v>
      </c>
      <c r="L449" s="2">
        <f t="shared" si="25"/>
        <v>7000</v>
      </c>
      <c r="M449" s="2">
        <f t="shared" si="26"/>
        <v>-3378</v>
      </c>
      <c r="N449" s="2">
        <f>_xlfn.XLOOKUP(D449, Sales_Rep_Master!A:A, Sales_Rep_Master!B:B)</f>
        <v>900000</v>
      </c>
      <c r="O449" s="4">
        <f t="shared" si="27"/>
        <v>4.0244444444444442E-3</v>
      </c>
    </row>
    <row r="450" spans="1:15" ht="15.75" hidden="1" x14ac:dyDescent="0.25">
      <c r="A450" s="3" t="s">
        <v>733</v>
      </c>
      <c r="B450" s="2" t="s">
        <v>540</v>
      </c>
      <c r="C450" s="2" t="s">
        <v>33</v>
      </c>
      <c r="D450" s="2" t="s">
        <v>54</v>
      </c>
      <c r="E450" s="2" t="s">
        <v>40</v>
      </c>
      <c r="F450" s="2">
        <v>8</v>
      </c>
      <c r="G450" s="2">
        <v>1993</v>
      </c>
      <c r="H450" s="2" t="str">
        <f>_xlfn.XLOOKUP(E450, Product_Master!A:A, Product_Master!B:B)</f>
        <v>Table</v>
      </c>
      <c r="I450" s="2" t="str">
        <f>_xlfn.XLOOKUP(E450, Product_Master!A:A, Product_Master!C:C)</f>
        <v>Furniture</v>
      </c>
      <c r="J450" s="2">
        <f>_xlfn.XLOOKUP(E450, Product_Master!A:A, Product_Master!D:D)</f>
        <v>7000</v>
      </c>
      <c r="K450" s="2">
        <f t="shared" ref="K450:K513" si="28">F450*G450</f>
        <v>15944</v>
      </c>
      <c r="L450" s="2">
        <f t="shared" ref="L450:L513" si="29">F450*J450</f>
        <v>56000</v>
      </c>
      <c r="M450" s="2">
        <f t="shared" ref="M450:M513" si="30">K450-L450</f>
        <v>-40056</v>
      </c>
      <c r="N450" s="2">
        <f>_xlfn.XLOOKUP(D450, Sales_Rep_Master!A:A, Sales_Rep_Master!B:B)</f>
        <v>890000</v>
      </c>
      <c r="O450" s="4">
        <f t="shared" ref="O450:O513" si="31">K450/N450</f>
        <v>1.7914606741573035E-2</v>
      </c>
    </row>
    <row r="451" spans="1:15" ht="15.75" x14ac:dyDescent="0.25">
      <c r="A451" s="3" t="s">
        <v>734</v>
      </c>
      <c r="B451" s="2" t="s">
        <v>735</v>
      </c>
      <c r="C451" s="2" t="s">
        <v>33</v>
      </c>
      <c r="D451" s="2" t="s">
        <v>152</v>
      </c>
      <c r="E451" s="2" t="s">
        <v>20</v>
      </c>
      <c r="F451" s="2">
        <v>13</v>
      </c>
      <c r="G451" s="2">
        <v>6015</v>
      </c>
      <c r="H451" s="2" t="str">
        <f>_xlfn.XLOOKUP(E451, Product_Master!A:A, Product_Master!B:B)</f>
        <v>Headphones</v>
      </c>
      <c r="I451" s="2" t="str">
        <f>_xlfn.XLOOKUP(E451, Product_Master!A:A, Product_Master!C:C)</f>
        <v>Electronics</v>
      </c>
      <c r="J451" s="2">
        <f>_xlfn.XLOOKUP(E451, Product_Master!A:A, Product_Master!D:D)</f>
        <v>2000</v>
      </c>
      <c r="K451" s="2">
        <f t="shared" si="28"/>
        <v>78195</v>
      </c>
      <c r="L451" s="2">
        <f t="shared" si="29"/>
        <v>26000</v>
      </c>
      <c r="M451" s="2">
        <f t="shared" si="30"/>
        <v>52195</v>
      </c>
      <c r="N451" s="2">
        <f>_xlfn.XLOOKUP(D451, Sales_Rep_Master!A:A, Sales_Rep_Master!B:B)</f>
        <v>870000</v>
      </c>
      <c r="O451" s="4">
        <f t="shared" si="31"/>
        <v>8.9879310344827587E-2</v>
      </c>
    </row>
    <row r="452" spans="1:15" ht="15.75" x14ac:dyDescent="0.25">
      <c r="A452" s="3" t="s">
        <v>736</v>
      </c>
      <c r="B452" s="2" t="s">
        <v>96</v>
      </c>
      <c r="C452" s="2" t="s">
        <v>33</v>
      </c>
      <c r="D452" s="2" t="s">
        <v>51</v>
      </c>
      <c r="E452" s="2" t="s">
        <v>28</v>
      </c>
      <c r="F452" s="2">
        <v>2</v>
      </c>
      <c r="G452" s="2">
        <v>5917</v>
      </c>
      <c r="H452" s="2" t="str">
        <f>_xlfn.XLOOKUP(E452, Product_Master!A:A, Product_Master!B:B)</f>
        <v>Laptop</v>
      </c>
      <c r="I452" s="2" t="str">
        <f>_xlfn.XLOOKUP(E452, Product_Master!A:A, Product_Master!C:C)</f>
        <v>Electronics</v>
      </c>
      <c r="J452" s="2">
        <f>_xlfn.XLOOKUP(E452, Product_Master!A:A, Product_Master!D:D)</f>
        <v>35000</v>
      </c>
      <c r="K452" s="2">
        <f t="shared" si="28"/>
        <v>11834</v>
      </c>
      <c r="L452" s="2">
        <f t="shared" si="29"/>
        <v>70000</v>
      </c>
      <c r="M452" s="2">
        <f t="shared" si="30"/>
        <v>-58166</v>
      </c>
      <c r="N452" s="2">
        <f>_xlfn.XLOOKUP(D452, Sales_Rep_Master!A:A, Sales_Rep_Master!B:B)</f>
        <v>900000</v>
      </c>
      <c r="O452" s="4">
        <f t="shared" si="31"/>
        <v>1.3148888888888889E-2</v>
      </c>
    </row>
    <row r="453" spans="1:15" ht="15.75" hidden="1" x14ac:dyDescent="0.25">
      <c r="A453" s="3" t="s">
        <v>737</v>
      </c>
      <c r="B453" s="2" t="s">
        <v>557</v>
      </c>
      <c r="C453" s="2" t="s">
        <v>9</v>
      </c>
      <c r="D453" s="2" t="s">
        <v>10</v>
      </c>
      <c r="E453" s="2" t="s">
        <v>40</v>
      </c>
      <c r="F453" s="2">
        <v>6</v>
      </c>
      <c r="G453" s="2">
        <v>3146</v>
      </c>
      <c r="H453" s="2" t="str">
        <f>_xlfn.XLOOKUP(E453, Product_Master!A:A, Product_Master!B:B)</f>
        <v>Table</v>
      </c>
      <c r="I453" s="2" t="str">
        <f>_xlfn.XLOOKUP(E453, Product_Master!A:A, Product_Master!C:C)</f>
        <v>Furniture</v>
      </c>
      <c r="J453" s="2">
        <f>_xlfn.XLOOKUP(E453, Product_Master!A:A, Product_Master!D:D)</f>
        <v>7000</v>
      </c>
      <c r="K453" s="2">
        <f t="shared" si="28"/>
        <v>18876</v>
      </c>
      <c r="L453" s="2">
        <f t="shared" si="29"/>
        <v>42000</v>
      </c>
      <c r="M453" s="2">
        <f t="shared" si="30"/>
        <v>-23124</v>
      </c>
      <c r="N453" s="2">
        <f>_xlfn.XLOOKUP(D453, Sales_Rep_Master!A:A, Sales_Rep_Master!B:B)</f>
        <v>920000</v>
      </c>
      <c r="O453" s="4">
        <f t="shared" si="31"/>
        <v>2.0517391304347828E-2</v>
      </c>
    </row>
    <row r="454" spans="1:15" ht="15.75" hidden="1" x14ac:dyDescent="0.25">
      <c r="A454" s="3" t="s">
        <v>738</v>
      </c>
      <c r="B454" s="2" t="s">
        <v>441</v>
      </c>
      <c r="C454" s="2" t="s">
        <v>26</v>
      </c>
      <c r="D454" s="2" t="s">
        <v>19</v>
      </c>
      <c r="E454" s="2" t="s">
        <v>23</v>
      </c>
      <c r="F454" s="2">
        <v>1</v>
      </c>
      <c r="G454" s="2">
        <v>7677</v>
      </c>
      <c r="H454" s="2" t="str">
        <f>_xlfn.XLOOKUP(E454, Product_Master!A:A, Product_Master!B:B)</f>
        <v>Sofa</v>
      </c>
      <c r="I454" s="2" t="str">
        <f>_xlfn.XLOOKUP(E454, Product_Master!A:A, Product_Master!C:C)</f>
        <v>Furniture</v>
      </c>
      <c r="J454" s="2">
        <f>_xlfn.XLOOKUP(E454, Product_Master!A:A, Product_Master!D:D)</f>
        <v>15000</v>
      </c>
      <c r="K454" s="2">
        <f t="shared" si="28"/>
        <v>7677</v>
      </c>
      <c r="L454" s="2">
        <f t="shared" si="29"/>
        <v>15000</v>
      </c>
      <c r="M454" s="2">
        <f t="shared" si="30"/>
        <v>-7323</v>
      </c>
      <c r="N454" s="2">
        <f>_xlfn.XLOOKUP(D454, Sales_Rep_Master!A:A, Sales_Rep_Master!B:B)</f>
        <v>950000</v>
      </c>
      <c r="O454" s="4">
        <f t="shared" si="31"/>
        <v>8.0810526315789472E-3</v>
      </c>
    </row>
    <row r="455" spans="1:15" ht="15.75" hidden="1" x14ac:dyDescent="0.25">
      <c r="A455" s="3" t="s">
        <v>739</v>
      </c>
      <c r="B455" s="2" t="s">
        <v>495</v>
      </c>
      <c r="C455" s="2" t="s">
        <v>18</v>
      </c>
      <c r="D455" s="2" t="s">
        <v>51</v>
      </c>
      <c r="E455" s="2" t="s">
        <v>23</v>
      </c>
      <c r="F455" s="2">
        <v>1</v>
      </c>
      <c r="G455" s="2">
        <v>5539</v>
      </c>
      <c r="H455" s="2" t="str">
        <f>_xlfn.XLOOKUP(E455, Product_Master!A:A, Product_Master!B:B)</f>
        <v>Sofa</v>
      </c>
      <c r="I455" s="2" t="str">
        <f>_xlfn.XLOOKUP(E455, Product_Master!A:A, Product_Master!C:C)</f>
        <v>Furniture</v>
      </c>
      <c r="J455" s="2">
        <f>_xlfn.XLOOKUP(E455, Product_Master!A:A, Product_Master!D:D)</f>
        <v>15000</v>
      </c>
      <c r="K455" s="2">
        <f t="shared" si="28"/>
        <v>5539</v>
      </c>
      <c r="L455" s="2">
        <f t="shared" si="29"/>
        <v>15000</v>
      </c>
      <c r="M455" s="2">
        <f t="shared" si="30"/>
        <v>-9461</v>
      </c>
      <c r="N455" s="2">
        <f>_xlfn.XLOOKUP(D455, Sales_Rep_Master!A:A, Sales_Rep_Master!B:B)</f>
        <v>900000</v>
      </c>
      <c r="O455" s="4">
        <f t="shared" si="31"/>
        <v>6.1544444444444442E-3</v>
      </c>
    </row>
    <row r="456" spans="1:15" ht="15.75" hidden="1" x14ac:dyDescent="0.25">
      <c r="A456" s="3" t="s">
        <v>740</v>
      </c>
      <c r="B456" s="2" t="s">
        <v>106</v>
      </c>
      <c r="C456" s="2" t="s">
        <v>33</v>
      </c>
      <c r="D456" s="2" t="s">
        <v>10</v>
      </c>
      <c r="E456" s="2" t="s">
        <v>61</v>
      </c>
      <c r="F456" s="2">
        <v>9</v>
      </c>
      <c r="G456" s="2">
        <v>7123</v>
      </c>
      <c r="H456" s="2" t="str">
        <f>_xlfn.XLOOKUP(E456, Product_Master!A:A, Product_Master!B:B)</f>
        <v>Shoes</v>
      </c>
      <c r="I456" s="2" t="str">
        <f>_xlfn.XLOOKUP(E456, Product_Master!A:A, Product_Master!C:C)</f>
        <v>Clothing</v>
      </c>
      <c r="J456" s="2">
        <f>_xlfn.XLOOKUP(E456, Product_Master!A:A, Product_Master!D:D)</f>
        <v>2000</v>
      </c>
      <c r="K456" s="2">
        <f t="shared" si="28"/>
        <v>64107</v>
      </c>
      <c r="L456" s="2">
        <f t="shared" si="29"/>
        <v>18000</v>
      </c>
      <c r="M456" s="2">
        <f t="shared" si="30"/>
        <v>46107</v>
      </c>
      <c r="N456" s="2">
        <f>_xlfn.XLOOKUP(D456, Sales_Rep_Master!A:A, Sales_Rep_Master!B:B)</f>
        <v>920000</v>
      </c>
      <c r="O456" s="4">
        <f t="shared" si="31"/>
        <v>6.9681521739130434E-2</v>
      </c>
    </row>
    <row r="457" spans="1:15" ht="15.75" hidden="1" x14ac:dyDescent="0.25">
      <c r="A457" s="3" t="s">
        <v>741</v>
      </c>
      <c r="B457" s="2" t="s">
        <v>573</v>
      </c>
      <c r="C457" s="2" t="s">
        <v>26</v>
      </c>
      <c r="D457" s="2" t="s">
        <v>14</v>
      </c>
      <c r="E457" s="2" t="s">
        <v>23</v>
      </c>
      <c r="F457" s="2">
        <v>9</v>
      </c>
      <c r="G457" s="2">
        <v>777</v>
      </c>
      <c r="H457" s="2" t="str">
        <f>_xlfn.XLOOKUP(E457, Product_Master!A:A, Product_Master!B:B)</f>
        <v>Sofa</v>
      </c>
      <c r="I457" s="2" t="str">
        <f>_xlfn.XLOOKUP(E457, Product_Master!A:A, Product_Master!C:C)</f>
        <v>Furniture</v>
      </c>
      <c r="J457" s="2">
        <f>_xlfn.XLOOKUP(E457, Product_Master!A:A, Product_Master!D:D)</f>
        <v>15000</v>
      </c>
      <c r="K457" s="2">
        <f t="shared" si="28"/>
        <v>6993</v>
      </c>
      <c r="L457" s="2">
        <f t="shared" si="29"/>
        <v>135000</v>
      </c>
      <c r="M457" s="2">
        <f t="shared" si="30"/>
        <v>-128007</v>
      </c>
      <c r="N457" s="2">
        <f>_xlfn.XLOOKUP(D457, Sales_Rep_Master!A:A, Sales_Rep_Master!B:B)</f>
        <v>880000</v>
      </c>
      <c r="O457" s="4">
        <f t="shared" si="31"/>
        <v>7.9465909090909084E-3</v>
      </c>
    </row>
    <row r="458" spans="1:15" ht="15.75" x14ac:dyDescent="0.25">
      <c r="A458" s="3" t="s">
        <v>742</v>
      </c>
      <c r="B458" s="2" t="s">
        <v>559</v>
      </c>
      <c r="C458" s="2" t="s">
        <v>33</v>
      </c>
      <c r="D458" s="2" t="s">
        <v>37</v>
      </c>
      <c r="E458" s="2" t="s">
        <v>11</v>
      </c>
      <c r="F458" s="2">
        <v>14</v>
      </c>
      <c r="G458" s="2">
        <v>6557</v>
      </c>
      <c r="H458" s="2" t="str">
        <f>_xlfn.XLOOKUP(E458, Product_Master!A:A, Product_Master!B:B)</f>
        <v>Mobile</v>
      </c>
      <c r="I458" s="2" t="str">
        <f>_xlfn.XLOOKUP(E458, Product_Master!A:A, Product_Master!C:C)</f>
        <v>Electronics</v>
      </c>
      <c r="J458" s="2">
        <f>_xlfn.XLOOKUP(E458, Product_Master!A:A, Product_Master!D:D)</f>
        <v>18000</v>
      </c>
      <c r="K458" s="2">
        <f t="shared" si="28"/>
        <v>91798</v>
      </c>
      <c r="L458" s="2">
        <f t="shared" si="29"/>
        <v>252000</v>
      </c>
      <c r="M458" s="2">
        <f t="shared" si="30"/>
        <v>-160202</v>
      </c>
      <c r="N458" s="2">
        <f>_xlfn.XLOOKUP(D458, Sales_Rep_Master!A:A, Sales_Rep_Master!B:B)</f>
        <v>850000</v>
      </c>
      <c r="O458" s="4">
        <f t="shared" si="31"/>
        <v>0.10799764705882353</v>
      </c>
    </row>
    <row r="459" spans="1:15" ht="15.75" x14ac:dyDescent="0.25">
      <c r="A459" s="3" t="s">
        <v>743</v>
      </c>
      <c r="B459" s="2" t="s">
        <v>418</v>
      </c>
      <c r="C459" s="2" t="s">
        <v>33</v>
      </c>
      <c r="D459" s="2" t="s">
        <v>27</v>
      </c>
      <c r="E459" s="2" t="s">
        <v>28</v>
      </c>
      <c r="F459" s="2">
        <v>15</v>
      </c>
      <c r="G459" s="2">
        <v>6691</v>
      </c>
      <c r="H459" s="2" t="str">
        <f>_xlfn.XLOOKUP(E459, Product_Master!A:A, Product_Master!B:B)</f>
        <v>Laptop</v>
      </c>
      <c r="I459" s="2" t="str">
        <f>_xlfn.XLOOKUP(E459, Product_Master!A:A, Product_Master!C:C)</f>
        <v>Electronics</v>
      </c>
      <c r="J459" s="2">
        <f>_xlfn.XLOOKUP(E459, Product_Master!A:A, Product_Master!D:D)</f>
        <v>35000</v>
      </c>
      <c r="K459" s="2">
        <f t="shared" si="28"/>
        <v>100365</v>
      </c>
      <c r="L459" s="2">
        <f t="shared" si="29"/>
        <v>525000</v>
      </c>
      <c r="M459" s="2">
        <f t="shared" si="30"/>
        <v>-424635</v>
      </c>
      <c r="N459" s="2">
        <f>_xlfn.XLOOKUP(D459, Sales_Rep_Master!A:A, Sales_Rep_Master!B:B)</f>
        <v>800000</v>
      </c>
      <c r="O459" s="4">
        <f t="shared" si="31"/>
        <v>0.12545624999999999</v>
      </c>
    </row>
    <row r="460" spans="1:15" ht="15.75" hidden="1" x14ac:dyDescent="0.25">
      <c r="A460" s="3" t="s">
        <v>744</v>
      </c>
      <c r="B460" s="2" t="s">
        <v>327</v>
      </c>
      <c r="C460" s="2" t="s">
        <v>33</v>
      </c>
      <c r="D460" s="2" t="s">
        <v>54</v>
      </c>
      <c r="E460" s="2" t="s">
        <v>61</v>
      </c>
      <c r="F460" s="2">
        <v>3</v>
      </c>
      <c r="G460" s="2">
        <v>1675</v>
      </c>
      <c r="H460" s="2" t="str">
        <f>_xlfn.XLOOKUP(E460, Product_Master!A:A, Product_Master!B:B)</f>
        <v>Shoes</v>
      </c>
      <c r="I460" s="2" t="str">
        <f>_xlfn.XLOOKUP(E460, Product_Master!A:A, Product_Master!C:C)</f>
        <v>Clothing</v>
      </c>
      <c r="J460" s="2">
        <f>_xlfn.XLOOKUP(E460, Product_Master!A:A, Product_Master!D:D)</f>
        <v>2000</v>
      </c>
      <c r="K460" s="2">
        <f t="shared" si="28"/>
        <v>5025</v>
      </c>
      <c r="L460" s="2">
        <f t="shared" si="29"/>
        <v>6000</v>
      </c>
      <c r="M460" s="2">
        <f t="shared" si="30"/>
        <v>-975</v>
      </c>
      <c r="N460" s="2">
        <f>_xlfn.XLOOKUP(D460, Sales_Rep_Master!A:A, Sales_Rep_Master!B:B)</f>
        <v>890000</v>
      </c>
      <c r="O460" s="4">
        <f t="shared" si="31"/>
        <v>5.6460674157303367E-3</v>
      </c>
    </row>
    <row r="461" spans="1:15" ht="15.75" hidden="1" x14ac:dyDescent="0.25">
      <c r="A461" s="3" t="s">
        <v>745</v>
      </c>
      <c r="B461" s="2" t="s">
        <v>230</v>
      </c>
      <c r="C461" s="2" t="s">
        <v>33</v>
      </c>
      <c r="D461" s="2" t="s">
        <v>14</v>
      </c>
      <c r="E461" s="2" t="s">
        <v>23</v>
      </c>
      <c r="F461" s="2">
        <v>14</v>
      </c>
      <c r="G461" s="2">
        <v>6552</v>
      </c>
      <c r="H461" s="2" t="str">
        <f>_xlfn.XLOOKUP(E461, Product_Master!A:A, Product_Master!B:B)</f>
        <v>Sofa</v>
      </c>
      <c r="I461" s="2" t="str">
        <f>_xlfn.XLOOKUP(E461, Product_Master!A:A, Product_Master!C:C)</f>
        <v>Furniture</v>
      </c>
      <c r="J461" s="2">
        <f>_xlfn.XLOOKUP(E461, Product_Master!A:A, Product_Master!D:D)</f>
        <v>15000</v>
      </c>
      <c r="K461" s="2">
        <f t="shared" si="28"/>
        <v>91728</v>
      </c>
      <c r="L461" s="2">
        <f t="shared" si="29"/>
        <v>210000</v>
      </c>
      <c r="M461" s="2">
        <f t="shared" si="30"/>
        <v>-118272</v>
      </c>
      <c r="N461" s="2">
        <f>_xlfn.XLOOKUP(D461, Sales_Rep_Master!A:A, Sales_Rep_Master!B:B)</f>
        <v>880000</v>
      </c>
      <c r="O461" s="4">
        <f t="shared" si="31"/>
        <v>0.10423636363636364</v>
      </c>
    </row>
    <row r="462" spans="1:15" ht="15.75" hidden="1" x14ac:dyDescent="0.25">
      <c r="A462" s="3" t="s">
        <v>746</v>
      </c>
      <c r="B462" s="2" t="s">
        <v>747</v>
      </c>
      <c r="C462" s="2" t="s">
        <v>18</v>
      </c>
      <c r="D462" s="2" t="s">
        <v>10</v>
      </c>
      <c r="E462" s="2" t="s">
        <v>23</v>
      </c>
      <c r="F462" s="2">
        <v>3</v>
      </c>
      <c r="G462" s="2">
        <v>5898</v>
      </c>
      <c r="H462" s="2" t="str">
        <f>_xlfn.XLOOKUP(E462, Product_Master!A:A, Product_Master!B:B)</f>
        <v>Sofa</v>
      </c>
      <c r="I462" s="2" t="str">
        <f>_xlfn.XLOOKUP(E462, Product_Master!A:A, Product_Master!C:C)</f>
        <v>Furniture</v>
      </c>
      <c r="J462" s="2">
        <f>_xlfn.XLOOKUP(E462, Product_Master!A:A, Product_Master!D:D)</f>
        <v>15000</v>
      </c>
      <c r="K462" s="2">
        <f t="shared" si="28"/>
        <v>17694</v>
      </c>
      <c r="L462" s="2">
        <f t="shared" si="29"/>
        <v>45000</v>
      </c>
      <c r="M462" s="2">
        <f t="shared" si="30"/>
        <v>-27306</v>
      </c>
      <c r="N462" s="2">
        <f>_xlfn.XLOOKUP(D462, Sales_Rep_Master!A:A, Sales_Rep_Master!B:B)</f>
        <v>920000</v>
      </c>
      <c r="O462" s="4">
        <f t="shared" si="31"/>
        <v>1.9232608695652173E-2</v>
      </c>
    </row>
    <row r="463" spans="1:15" ht="15.75" x14ac:dyDescent="0.25">
      <c r="A463" s="3" t="s">
        <v>748</v>
      </c>
      <c r="B463" s="2" t="s">
        <v>749</v>
      </c>
      <c r="C463" s="2" t="s">
        <v>26</v>
      </c>
      <c r="D463" s="2" t="s">
        <v>27</v>
      </c>
      <c r="E463" s="2" t="s">
        <v>11</v>
      </c>
      <c r="F463" s="2">
        <v>8</v>
      </c>
      <c r="G463" s="2">
        <v>2160</v>
      </c>
      <c r="H463" s="2" t="str">
        <f>_xlfn.XLOOKUP(E463, Product_Master!A:A, Product_Master!B:B)</f>
        <v>Mobile</v>
      </c>
      <c r="I463" s="2" t="str">
        <f>_xlfn.XLOOKUP(E463, Product_Master!A:A, Product_Master!C:C)</f>
        <v>Electronics</v>
      </c>
      <c r="J463" s="2">
        <f>_xlfn.XLOOKUP(E463, Product_Master!A:A, Product_Master!D:D)</f>
        <v>18000</v>
      </c>
      <c r="K463" s="2">
        <f t="shared" si="28"/>
        <v>17280</v>
      </c>
      <c r="L463" s="2">
        <f t="shared" si="29"/>
        <v>144000</v>
      </c>
      <c r="M463" s="2">
        <f t="shared" si="30"/>
        <v>-126720</v>
      </c>
      <c r="N463" s="2">
        <f>_xlfn.XLOOKUP(D463, Sales_Rep_Master!A:A, Sales_Rep_Master!B:B)</f>
        <v>800000</v>
      </c>
      <c r="O463" s="4">
        <f t="shared" si="31"/>
        <v>2.1600000000000001E-2</v>
      </c>
    </row>
    <row r="464" spans="1:15" ht="15.75" hidden="1" x14ac:dyDescent="0.25">
      <c r="A464" s="3" t="s">
        <v>750</v>
      </c>
      <c r="B464" s="2" t="s">
        <v>430</v>
      </c>
      <c r="C464" s="2" t="s">
        <v>26</v>
      </c>
      <c r="D464" s="2" t="s">
        <v>14</v>
      </c>
      <c r="E464" s="2" t="s">
        <v>23</v>
      </c>
      <c r="F464" s="2">
        <v>3</v>
      </c>
      <c r="G464" s="2">
        <v>809</v>
      </c>
      <c r="H464" s="2" t="str">
        <f>_xlfn.XLOOKUP(E464, Product_Master!A:A, Product_Master!B:B)</f>
        <v>Sofa</v>
      </c>
      <c r="I464" s="2" t="str">
        <f>_xlfn.XLOOKUP(E464, Product_Master!A:A, Product_Master!C:C)</f>
        <v>Furniture</v>
      </c>
      <c r="J464" s="2">
        <f>_xlfn.XLOOKUP(E464, Product_Master!A:A, Product_Master!D:D)</f>
        <v>15000</v>
      </c>
      <c r="K464" s="2">
        <f t="shared" si="28"/>
        <v>2427</v>
      </c>
      <c r="L464" s="2">
        <f t="shared" si="29"/>
        <v>45000</v>
      </c>
      <c r="M464" s="2">
        <f t="shared" si="30"/>
        <v>-42573</v>
      </c>
      <c r="N464" s="2">
        <f>_xlfn.XLOOKUP(D464, Sales_Rep_Master!A:A, Sales_Rep_Master!B:B)</f>
        <v>880000</v>
      </c>
      <c r="O464" s="4">
        <f t="shared" si="31"/>
        <v>2.7579545454545456E-3</v>
      </c>
    </row>
    <row r="465" spans="1:15" ht="15.75" x14ac:dyDescent="0.25">
      <c r="A465" s="3" t="s">
        <v>751</v>
      </c>
      <c r="B465" s="2" t="s">
        <v>422</v>
      </c>
      <c r="C465" s="2" t="s">
        <v>18</v>
      </c>
      <c r="D465" s="2" t="s">
        <v>14</v>
      </c>
      <c r="E465" s="2" t="s">
        <v>11</v>
      </c>
      <c r="F465" s="2">
        <v>4</v>
      </c>
      <c r="G465" s="2">
        <v>7941</v>
      </c>
      <c r="H465" s="2" t="str">
        <f>_xlfn.XLOOKUP(E465, Product_Master!A:A, Product_Master!B:B)</f>
        <v>Mobile</v>
      </c>
      <c r="I465" s="2" t="str">
        <f>_xlfn.XLOOKUP(E465, Product_Master!A:A, Product_Master!C:C)</f>
        <v>Electronics</v>
      </c>
      <c r="J465" s="2">
        <f>_xlfn.XLOOKUP(E465, Product_Master!A:A, Product_Master!D:D)</f>
        <v>18000</v>
      </c>
      <c r="K465" s="2">
        <f t="shared" si="28"/>
        <v>31764</v>
      </c>
      <c r="L465" s="2">
        <f t="shared" si="29"/>
        <v>72000</v>
      </c>
      <c r="M465" s="2">
        <f t="shared" si="30"/>
        <v>-40236</v>
      </c>
      <c r="N465" s="2">
        <f>_xlfn.XLOOKUP(D465, Sales_Rep_Master!A:A, Sales_Rep_Master!B:B)</f>
        <v>880000</v>
      </c>
      <c r="O465" s="4">
        <f t="shared" si="31"/>
        <v>3.6095454545454549E-2</v>
      </c>
    </row>
    <row r="466" spans="1:15" ht="15.75" x14ac:dyDescent="0.25">
      <c r="A466" s="3" t="s">
        <v>752</v>
      </c>
      <c r="B466" s="2" t="s">
        <v>273</v>
      </c>
      <c r="C466" s="2" t="s">
        <v>33</v>
      </c>
      <c r="D466" s="2" t="s">
        <v>19</v>
      </c>
      <c r="E466" s="2" t="s">
        <v>11</v>
      </c>
      <c r="F466" s="2">
        <v>5</v>
      </c>
      <c r="G466" s="2">
        <v>1549</v>
      </c>
      <c r="H466" s="2" t="str">
        <f>_xlfn.XLOOKUP(E466, Product_Master!A:A, Product_Master!B:B)</f>
        <v>Mobile</v>
      </c>
      <c r="I466" s="2" t="str">
        <f>_xlfn.XLOOKUP(E466, Product_Master!A:A, Product_Master!C:C)</f>
        <v>Electronics</v>
      </c>
      <c r="J466" s="2">
        <f>_xlfn.XLOOKUP(E466, Product_Master!A:A, Product_Master!D:D)</f>
        <v>18000</v>
      </c>
      <c r="K466" s="2">
        <f t="shared" si="28"/>
        <v>7745</v>
      </c>
      <c r="L466" s="2">
        <f t="shared" si="29"/>
        <v>90000</v>
      </c>
      <c r="M466" s="2">
        <f t="shared" si="30"/>
        <v>-82255</v>
      </c>
      <c r="N466" s="2">
        <f>_xlfn.XLOOKUP(D466, Sales_Rep_Master!A:A, Sales_Rep_Master!B:B)</f>
        <v>950000</v>
      </c>
      <c r="O466" s="4">
        <f t="shared" si="31"/>
        <v>8.1526315789473679E-3</v>
      </c>
    </row>
    <row r="467" spans="1:15" ht="15.75" hidden="1" x14ac:dyDescent="0.25">
      <c r="A467" s="3" t="s">
        <v>753</v>
      </c>
      <c r="B467" s="2" t="s">
        <v>576</v>
      </c>
      <c r="C467" s="2" t="s">
        <v>33</v>
      </c>
      <c r="D467" s="2" t="s">
        <v>152</v>
      </c>
      <c r="E467" s="2" t="s">
        <v>34</v>
      </c>
      <c r="F467" s="2">
        <v>5</v>
      </c>
      <c r="G467" s="2">
        <v>2264</v>
      </c>
      <c r="H467" s="2" t="str">
        <f>_xlfn.XLOOKUP(E467, Product_Master!A:A, Product_Master!B:B)</f>
        <v>Jacket</v>
      </c>
      <c r="I467" s="2" t="str">
        <f>_xlfn.XLOOKUP(E467, Product_Master!A:A, Product_Master!C:C)</f>
        <v>Clothing</v>
      </c>
      <c r="J467" s="2">
        <f>_xlfn.XLOOKUP(E467, Product_Master!A:A, Product_Master!D:D)</f>
        <v>1500</v>
      </c>
      <c r="K467" s="2">
        <f t="shared" si="28"/>
        <v>11320</v>
      </c>
      <c r="L467" s="2">
        <f t="shared" si="29"/>
        <v>7500</v>
      </c>
      <c r="M467" s="2">
        <f t="shared" si="30"/>
        <v>3820</v>
      </c>
      <c r="N467" s="2">
        <f>_xlfn.XLOOKUP(D467, Sales_Rep_Master!A:A, Sales_Rep_Master!B:B)</f>
        <v>870000</v>
      </c>
      <c r="O467" s="4">
        <f t="shared" si="31"/>
        <v>1.3011494252873563E-2</v>
      </c>
    </row>
    <row r="468" spans="1:15" ht="15.75" x14ac:dyDescent="0.25">
      <c r="A468" s="3" t="s">
        <v>754</v>
      </c>
      <c r="B468" s="2" t="s">
        <v>131</v>
      </c>
      <c r="C468" s="2" t="s">
        <v>26</v>
      </c>
      <c r="D468" s="2" t="s">
        <v>152</v>
      </c>
      <c r="E468" s="2" t="s">
        <v>20</v>
      </c>
      <c r="F468" s="2">
        <v>12</v>
      </c>
      <c r="G468" s="2">
        <v>5861</v>
      </c>
      <c r="H468" s="2" t="str">
        <f>_xlfn.XLOOKUP(E468, Product_Master!A:A, Product_Master!B:B)</f>
        <v>Headphones</v>
      </c>
      <c r="I468" s="2" t="str">
        <f>_xlfn.XLOOKUP(E468, Product_Master!A:A, Product_Master!C:C)</f>
        <v>Electronics</v>
      </c>
      <c r="J468" s="2">
        <f>_xlfn.XLOOKUP(E468, Product_Master!A:A, Product_Master!D:D)</f>
        <v>2000</v>
      </c>
      <c r="K468" s="2">
        <f t="shared" si="28"/>
        <v>70332</v>
      </c>
      <c r="L468" s="2">
        <f t="shared" si="29"/>
        <v>24000</v>
      </c>
      <c r="M468" s="2">
        <f t="shared" si="30"/>
        <v>46332</v>
      </c>
      <c r="N468" s="2">
        <f>_xlfn.XLOOKUP(D468, Sales_Rep_Master!A:A, Sales_Rep_Master!B:B)</f>
        <v>870000</v>
      </c>
      <c r="O468" s="4">
        <f t="shared" si="31"/>
        <v>8.0841379310344824E-2</v>
      </c>
    </row>
    <row r="469" spans="1:15" ht="15.75" hidden="1" x14ac:dyDescent="0.25">
      <c r="A469" s="3" t="s">
        <v>755</v>
      </c>
      <c r="B469" s="2" t="s">
        <v>204</v>
      </c>
      <c r="C469" s="2" t="s">
        <v>9</v>
      </c>
      <c r="D469" s="2" t="s">
        <v>152</v>
      </c>
      <c r="E469" s="2" t="s">
        <v>34</v>
      </c>
      <c r="F469" s="2">
        <v>4</v>
      </c>
      <c r="G469" s="2">
        <v>4030</v>
      </c>
      <c r="H469" s="2" t="str">
        <f>_xlfn.XLOOKUP(E469, Product_Master!A:A, Product_Master!B:B)</f>
        <v>Jacket</v>
      </c>
      <c r="I469" s="2" t="str">
        <f>_xlfn.XLOOKUP(E469, Product_Master!A:A, Product_Master!C:C)</f>
        <v>Clothing</v>
      </c>
      <c r="J469" s="2">
        <f>_xlfn.XLOOKUP(E469, Product_Master!A:A, Product_Master!D:D)</f>
        <v>1500</v>
      </c>
      <c r="K469" s="2">
        <f t="shared" si="28"/>
        <v>16120</v>
      </c>
      <c r="L469" s="2">
        <f t="shared" si="29"/>
        <v>6000</v>
      </c>
      <c r="M469" s="2">
        <f t="shared" si="30"/>
        <v>10120</v>
      </c>
      <c r="N469" s="2">
        <f>_xlfn.XLOOKUP(D469, Sales_Rep_Master!A:A, Sales_Rep_Master!B:B)</f>
        <v>870000</v>
      </c>
      <c r="O469" s="4">
        <f t="shared" si="31"/>
        <v>1.8528735632183907E-2</v>
      </c>
    </row>
    <row r="470" spans="1:15" ht="15.75" hidden="1" x14ac:dyDescent="0.25">
      <c r="A470" s="3" t="s">
        <v>756</v>
      </c>
      <c r="B470" s="2" t="s">
        <v>226</v>
      </c>
      <c r="C470" s="2" t="s">
        <v>18</v>
      </c>
      <c r="D470" s="2" t="s">
        <v>19</v>
      </c>
      <c r="E470" s="2" t="s">
        <v>23</v>
      </c>
      <c r="F470" s="2">
        <v>6</v>
      </c>
      <c r="G470" s="2">
        <v>3684</v>
      </c>
      <c r="H470" s="2" t="str">
        <f>_xlfn.XLOOKUP(E470, Product_Master!A:A, Product_Master!B:B)</f>
        <v>Sofa</v>
      </c>
      <c r="I470" s="2" t="str">
        <f>_xlfn.XLOOKUP(E470, Product_Master!A:A, Product_Master!C:C)</f>
        <v>Furniture</v>
      </c>
      <c r="J470" s="2">
        <f>_xlfn.XLOOKUP(E470, Product_Master!A:A, Product_Master!D:D)</f>
        <v>15000</v>
      </c>
      <c r="K470" s="2">
        <f t="shared" si="28"/>
        <v>22104</v>
      </c>
      <c r="L470" s="2">
        <f t="shared" si="29"/>
        <v>90000</v>
      </c>
      <c r="M470" s="2">
        <f t="shared" si="30"/>
        <v>-67896</v>
      </c>
      <c r="N470" s="2">
        <f>_xlfn.XLOOKUP(D470, Sales_Rep_Master!A:A, Sales_Rep_Master!B:B)</f>
        <v>950000</v>
      </c>
      <c r="O470" s="4">
        <f t="shared" si="31"/>
        <v>2.326736842105263E-2</v>
      </c>
    </row>
    <row r="471" spans="1:15" ht="15.75" hidden="1" x14ac:dyDescent="0.25">
      <c r="A471" s="3" t="s">
        <v>757</v>
      </c>
      <c r="B471" s="2" t="s">
        <v>665</v>
      </c>
      <c r="C471" s="2" t="s">
        <v>33</v>
      </c>
      <c r="D471" s="2" t="s">
        <v>19</v>
      </c>
      <c r="E471" s="2" t="s">
        <v>15</v>
      </c>
      <c r="F471" s="2">
        <v>10</v>
      </c>
      <c r="G471" s="2">
        <v>1707</v>
      </c>
      <c r="H471" s="2" t="str">
        <f>_xlfn.XLOOKUP(E471, Product_Master!A:A, Product_Master!B:B)</f>
        <v>Chair</v>
      </c>
      <c r="I471" s="2" t="str">
        <f>_xlfn.XLOOKUP(E471, Product_Master!A:A, Product_Master!C:C)</f>
        <v>Furniture</v>
      </c>
      <c r="J471" s="2">
        <f>_xlfn.XLOOKUP(E471, Product_Master!A:A, Product_Master!D:D)</f>
        <v>2500</v>
      </c>
      <c r="K471" s="2">
        <f t="shared" si="28"/>
        <v>17070</v>
      </c>
      <c r="L471" s="2">
        <f t="shared" si="29"/>
        <v>25000</v>
      </c>
      <c r="M471" s="2">
        <f t="shared" si="30"/>
        <v>-7930</v>
      </c>
      <c r="N471" s="2">
        <f>_xlfn.XLOOKUP(D471, Sales_Rep_Master!A:A, Sales_Rep_Master!B:B)</f>
        <v>950000</v>
      </c>
      <c r="O471" s="4">
        <f t="shared" si="31"/>
        <v>1.7968421052631578E-2</v>
      </c>
    </row>
    <row r="472" spans="1:15" ht="15.75" x14ac:dyDescent="0.25">
      <c r="A472" s="3" t="s">
        <v>758</v>
      </c>
      <c r="B472" s="2" t="s">
        <v>151</v>
      </c>
      <c r="C472" s="2" t="s">
        <v>26</v>
      </c>
      <c r="D472" s="2" t="s">
        <v>51</v>
      </c>
      <c r="E472" s="2" t="s">
        <v>11</v>
      </c>
      <c r="F472" s="2">
        <v>5</v>
      </c>
      <c r="G472" s="2">
        <v>7903</v>
      </c>
      <c r="H472" s="2" t="str">
        <f>_xlfn.XLOOKUP(E472, Product_Master!A:A, Product_Master!B:B)</f>
        <v>Mobile</v>
      </c>
      <c r="I472" s="2" t="str">
        <f>_xlfn.XLOOKUP(E472, Product_Master!A:A, Product_Master!C:C)</f>
        <v>Electronics</v>
      </c>
      <c r="J472" s="2">
        <f>_xlfn.XLOOKUP(E472, Product_Master!A:A, Product_Master!D:D)</f>
        <v>18000</v>
      </c>
      <c r="K472" s="2">
        <f t="shared" si="28"/>
        <v>39515</v>
      </c>
      <c r="L472" s="2">
        <f t="shared" si="29"/>
        <v>90000</v>
      </c>
      <c r="M472" s="2">
        <f t="shared" si="30"/>
        <v>-50485</v>
      </c>
      <c r="N472" s="2">
        <f>_xlfn.XLOOKUP(D472, Sales_Rep_Master!A:A, Sales_Rep_Master!B:B)</f>
        <v>900000</v>
      </c>
      <c r="O472" s="4">
        <f t="shared" si="31"/>
        <v>4.3905555555555559E-2</v>
      </c>
    </row>
    <row r="473" spans="1:15" ht="15.75" x14ac:dyDescent="0.25">
      <c r="A473" s="3" t="s">
        <v>759</v>
      </c>
      <c r="B473" s="2" t="s">
        <v>212</v>
      </c>
      <c r="C473" s="2" t="s">
        <v>18</v>
      </c>
      <c r="D473" s="2" t="s">
        <v>37</v>
      </c>
      <c r="E473" s="2" t="s">
        <v>28</v>
      </c>
      <c r="F473" s="2">
        <v>5</v>
      </c>
      <c r="G473" s="2">
        <v>7201</v>
      </c>
      <c r="H473" s="2" t="str">
        <f>_xlfn.XLOOKUP(E473, Product_Master!A:A, Product_Master!B:B)</f>
        <v>Laptop</v>
      </c>
      <c r="I473" s="2" t="str">
        <f>_xlfn.XLOOKUP(E473, Product_Master!A:A, Product_Master!C:C)</f>
        <v>Electronics</v>
      </c>
      <c r="J473" s="2">
        <f>_xlfn.XLOOKUP(E473, Product_Master!A:A, Product_Master!D:D)</f>
        <v>35000</v>
      </c>
      <c r="K473" s="2">
        <f t="shared" si="28"/>
        <v>36005</v>
      </c>
      <c r="L473" s="2">
        <f t="shared" si="29"/>
        <v>175000</v>
      </c>
      <c r="M473" s="2">
        <f t="shared" si="30"/>
        <v>-138995</v>
      </c>
      <c r="N473" s="2">
        <f>_xlfn.XLOOKUP(D473, Sales_Rep_Master!A:A, Sales_Rep_Master!B:B)</f>
        <v>850000</v>
      </c>
      <c r="O473" s="4">
        <f t="shared" si="31"/>
        <v>4.2358823529411761E-2</v>
      </c>
    </row>
    <row r="474" spans="1:15" ht="15.75" x14ac:dyDescent="0.25">
      <c r="A474" s="3" t="s">
        <v>760</v>
      </c>
      <c r="B474" s="2" t="s">
        <v>201</v>
      </c>
      <c r="C474" s="2" t="s">
        <v>9</v>
      </c>
      <c r="D474" s="2" t="s">
        <v>54</v>
      </c>
      <c r="E474" s="2" t="s">
        <v>28</v>
      </c>
      <c r="F474" s="2">
        <v>3</v>
      </c>
      <c r="G474" s="2">
        <v>5111</v>
      </c>
      <c r="H474" s="2" t="str">
        <f>_xlfn.XLOOKUP(E474, Product_Master!A:A, Product_Master!B:B)</f>
        <v>Laptop</v>
      </c>
      <c r="I474" s="2" t="str">
        <f>_xlfn.XLOOKUP(E474, Product_Master!A:A, Product_Master!C:C)</f>
        <v>Electronics</v>
      </c>
      <c r="J474" s="2">
        <f>_xlfn.XLOOKUP(E474, Product_Master!A:A, Product_Master!D:D)</f>
        <v>35000</v>
      </c>
      <c r="K474" s="2">
        <f t="shared" si="28"/>
        <v>15333</v>
      </c>
      <c r="L474" s="2">
        <f t="shared" si="29"/>
        <v>105000</v>
      </c>
      <c r="M474" s="2">
        <f t="shared" si="30"/>
        <v>-89667</v>
      </c>
      <c r="N474" s="2">
        <f>_xlfn.XLOOKUP(D474, Sales_Rep_Master!A:A, Sales_Rep_Master!B:B)</f>
        <v>890000</v>
      </c>
      <c r="O474" s="4">
        <f t="shared" si="31"/>
        <v>1.7228089887640449E-2</v>
      </c>
    </row>
    <row r="475" spans="1:15" ht="15.75" x14ac:dyDescent="0.25">
      <c r="A475" s="3" t="s">
        <v>761</v>
      </c>
      <c r="B475" s="2" t="s">
        <v>207</v>
      </c>
      <c r="C475" s="2" t="s">
        <v>9</v>
      </c>
      <c r="D475" s="2" t="s">
        <v>51</v>
      </c>
      <c r="E475" s="2" t="s">
        <v>20</v>
      </c>
      <c r="F475" s="2">
        <v>13</v>
      </c>
      <c r="G475" s="2">
        <v>798</v>
      </c>
      <c r="H475" s="2" t="str">
        <f>_xlfn.XLOOKUP(E475, Product_Master!A:A, Product_Master!B:B)</f>
        <v>Headphones</v>
      </c>
      <c r="I475" s="2" t="str">
        <f>_xlfn.XLOOKUP(E475, Product_Master!A:A, Product_Master!C:C)</f>
        <v>Electronics</v>
      </c>
      <c r="J475" s="2">
        <f>_xlfn.XLOOKUP(E475, Product_Master!A:A, Product_Master!D:D)</f>
        <v>2000</v>
      </c>
      <c r="K475" s="2">
        <f t="shared" si="28"/>
        <v>10374</v>
      </c>
      <c r="L475" s="2">
        <f t="shared" si="29"/>
        <v>26000</v>
      </c>
      <c r="M475" s="2">
        <f t="shared" si="30"/>
        <v>-15626</v>
      </c>
      <c r="N475" s="2">
        <f>_xlfn.XLOOKUP(D475, Sales_Rep_Master!A:A, Sales_Rep_Master!B:B)</f>
        <v>900000</v>
      </c>
      <c r="O475" s="4">
        <f t="shared" si="31"/>
        <v>1.1526666666666666E-2</v>
      </c>
    </row>
    <row r="476" spans="1:15" ht="15.75" hidden="1" x14ac:dyDescent="0.25">
      <c r="A476" s="3" t="s">
        <v>762</v>
      </c>
      <c r="B476" s="2" t="s">
        <v>715</v>
      </c>
      <c r="C476" s="2" t="s">
        <v>18</v>
      </c>
      <c r="D476" s="2" t="s">
        <v>51</v>
      </c>
      <c r="E476" s="2" t="s">
        <v>40</v>
      </c>
      <c r="F476" s="2">
        <v>14</v>
      </c>
      <c r="G476" s="2">
        <v>4626</v>
      </c>
      <c r="H476" s="2" t="str">
        <f>_xlfn.XLOOKUP(E476, Product_Master!A:A, Product_Master!B:B)</f>
        <v>Table</v>
      </c>
      <c r="I476" s="2" t="str">
        <f>_xlfn.XLOOKUP(E476, Product_Master!A:A, Product_Master!C:C)</f>
        <v>Furniture</v>
      </c>
      <c r="J476" s="2">
        <f>_xlfn.XLOOKUP(E476, Product_Master!A:A, Product_Master!D:D)</f>
        <v>7000</v>
      </c>
      <c r="K476" s="2">
        <f t="shared" si="28"/>
        <v>64764</v>
      </c>
      <c r="L476" s="2">
        <f t="shared" si="29"/>
        <v>98000</v>
      </c>
      <c r="M476" s="2">
        <f t="shared" si="30"/>
        <v>-33236</v>
      </c>
      <c r="N476" s="2">
        <f>_xlfn.XLOOKUP(D476, Sales_Rep_Master!A:A, Sales_Rep_Master!B:B)</f>
        <v>900000</v>
      </c>
      <c r="O476" s="4">
        <f t="shared" si="31"/>
        <v>7.1959999999999996E-2</v>
      </c>
    </row>
    <row r="477" spans="1:15" ht="15.75" hidden="1" x14ac:dyDescent="0.25">
      <c r="A477" s="3" t="s">
        <v>763</v>
      </c>
      <c r="B477" s="2" t="s">
        <v>351</v>
      </c>
      <c r="C477" s="2" t="s">
        <v>33</v>
      </c>
      <c r="D477" s="2" t="s">
        <v>14</v>
      </c>
      <c r="E477" s="2" t="s">
        <v>40</v>
      </c>
      <c r="F477" s="2">
        <v>13</v>
      </c>
      <c r="G477" s="2">
        <v>4951</v>
      </c>
      <c r="H477" s="2" t="str">
        <f>_xlfn.XLOOKUP(E477, Product_Master!A:A, Product_Master!B:B)</f>
        <v>Table</v>
      </c>
      <c r="I477" s="2" t="str">
        <f>_xlfn.XLOOKUP(E477, Product_Master!A:A, Product_Master!C:C)</f>
        <v>Furniture</v>
      </c>
      <c r="J477" s="2">
        <f>_xlfn.XLOOKUP(E477, Product_Master!A:A, Product_Master!D:D)</f>
        <v>7000</v>
      </c>
      <c r="K477" s="2">
        <f t="shared" si="28"/>
        <v>64363</v>
      </c>
      <c r="L477" s="2">
        <f t="shared" si="29"/>
        <v>91000</v>
      </c>
      <c r="M477" s="2">
        <f t="shared" si="30"/>
        <v>-26637</v>
      </c>
      <c r="N477" s="2">
        <f>_xlfn.XLOOKUP(D477, Sales_Rep_Master!A:A, Sales_Rep_Master!B:B)</f>
        <v>880000</v>
      </c>
      <c r="O477" s="4">
        <f t="shared" si="31"/>
        <v>7.3139772727272734E-2</v>
      </c>
    </row>
    <row r="478" spans="1:15" ht="15.75" x14ac:dyDescent="0.25">
      <c r="A478" s="3" t="s">
        <v>764</v>
      </c>
      <c r="B478" s="2" t="s">
        <v>765</v>
      </c>
      <c r="C478" s="2" t="s">
        <v>18</v>
      </c>
      <c r="D478" s="2" t="s">
        <v>14</v>
      </c>
      <c r="E478" s="2" t="s">
        <v>11</v>
      </c>
      <c r="F478" s="2">
        <v>15</v>
      </c>
      <c r="G478" s="2">
        <v>7491</v>
      </c>
      <c r="H478" s="2" t="str">
        <f>_xlfn.XLOOKUP(E478, Product_Master!A:A, Product_Master!B:B)</f>
        <v>Mobile</v>
      </c>
      <c r="I478" s="2" t="str">
        <f>_xlfn.XLOOKUP(E478, Product_Master!A:A, Product_Master!C:C)</f>
        <v>Electronics</v>
      </c>
      <c r="J478" s="2">
        <f>_xlfn.XLOOKUP(E478, Product_Master!A:A, Product_Master!D:D)</f>
        <v>18000</v>
      </c>
      <c r="K478" s="2">
        <f t="shared" si="28"/>
        <v>112365</v>
      </c>
      <c r="L478" s="2">
        <f t="shared" si="29"/>
        <v>270000</v>
      </c>
      <c r="M478" s="2">
        <f t="shared" si="30"/>
        <v>-157635</v>
      </c>
      <c r="N478" s="2">
        <f>_xlfn.XLOOKUP(D478, Sales_Rep_Master!A:A, Sales_Rep_Master!B:B)</f>
        <v>880000</v>
      </c>
      <c r="O478" s="4">
        <f t="shared" si="31"/>
        <v>0.12768750000000001</v>
      </c>
    </row>
    <row r="479" spans="1:15" ht="15.75" hidden="1" x14ac:dyDescent="0.25">
      <c r="A479" s="3" t="s">
        <v>766</v>
      </c>
      <c r="B479" s="2" t="s">
        <v>767</v>
      </c>
      <c r="C479" s="2" t="s">
        <v>18</v>
      </c>
      <c r="D479" s="2" t="s">
        <v>152</v>
      </c>
      <c r="E479" s="2" t="s">
        <v>61</v>
      </c>
      <c r="F479" s="2">
        <v>6</v>
      </c>
      <c r="G479" s="2">
        <v>2368</v>
      </c>
      <c r="H479" s="2" t="str">
        <f>_xlfn.XLOOKUP(E479, Product_Master!A:A, Product_Master!B:B)</f>
        <v>Shoes</v>
      </c>
      <c r="I479" s="2" t="str">
        <f>_xlfn.XLOOKUP(E479, Product_Master!A:A, Product_Master!C:C)</f>
        <v>Clothing</v>
      </c>
      <c r="J479" s="2">
        <f>_xlfn.XLOOKUP(E479, Product_Master!A:A, Product_Master!D:D)</f>
        <v>2000</v>
      </c>
      <c r="K479" s="2">
        <f t="shared" si="28"/>
        <v>14208</v>
      </c>
      <c r="L479" s="2">
        <f t="shared" si="29"/>
        <v>12000</v>
      </c>
      <c r="M479" s="2">
        <f t="shared" si="30"/>
        <v>2208</v>
      </c>
      <c r="N479" s="2">
        <f>_xlfn.XLOOKUP(D479, Sales_Rep_Master!A:A, Sales_Rep_Master!B:B)</f>
        <v>870000</v>
      </c>
      <c r="O479" s="4">
        <f t="shared" si="31"/>
        <v>1.6331034482758619E-2</v>
      </c>
    </row>
    <row r="480" spans="1:15" ht="15.75" hidden="1" x14ac:dyDescent="0.25">
      <c r="A480" s="3" t="s">
        <v>768</v>
      </c>
      <c r="B480" s="2" t="s">
        <v>769</v>
      </c>
      <c r="C480" s="2" t="s">
        <v>9</v>
      </c>
      <c r="D480" s="2" t="s">
        <v>19</v>
      </c>
      <c r="E480" s="2" t="s">
        <v>34</v>
      </c>
      <c r="F480" s="2">
        <v>4</v>
      </c>
      <c r="G480" s="2">
        <v>2295</v>
      </c>
      <c r="H480" s="2" t="str">
        <f>_xlfn.XLOOKUP(E480, Product_Master!A:A, Product_Master!B:B)</f>
        <v>Jacket</v>
      </c>
      <c r="I480" s="2" t="str">
        <f>_xlfn.XLOOKUP(E480, Product_Master!A:A, Product_Master!C:C)</f>
        <v>Clothing</v>
      </c>
      <c r="J480" s="2">
        <f>_xlfn.XLOOKUP(E480, Product_Master!A:A, Product_Master!D:D)</f>
        <v>1500</v>
      </c>
      <c r="K480" s="2">
        <f t="shared" si="28"/>
        <v>9180</v>
      </c>
      <c r="L480" s="2">
        <f t="shared" si="29"/>
        <v>6000</v>
      </c>
      <c r="M480" s="2">
        <f t="shared" si="30"/>
        <v>3180</v>
      </c>
      <c r="N480" s="2">
        <f>_xlfn.XLOOKUP(D480, Sales_Rep_Master!A:A, Sales_Rep_Master!B:B)</f>
        <v>950000</v>
      </c>
      <c r="O480" s="4">
        <f t="shared" si="31"/>
        <v>9.6631578947368423E-3</v>
      </c>
    </row>
    <row r="481" spans="1:15" ht="15.75" hidden="1" x14ac:dyDescent="0.25">
      <c r="A481" s="3" t="s">
        <v>770</v>
      </c>
      <c r="B481" s="2" t="s">
        <v>282</v>
      </c>
      <c r="C481" s="2" t="s">
        <v>18</v>
      </c>
      <c r="D481" s="2" t="s">
        <v>152</v>
      </c>
      <c r="E481" s="2" t="s">
        <v>61</v>
      </c>
      <c r="F481" s="2">
        <v>7</v>
      </c>
      <c r="G481" s="2">
        <v>6200</v>
      </c>
      <c r="H481" s="2" t="str">
        <f>_xlfn.XLOOKUP(E481, Product_Master!A:A, Product_Master!B:B)</f>
        <v>Shoes</v>
      </c>
      <c r="I481" s="2" t="str">
        <f>_xlfn.XLOOKUP(E481, Product_Master!A:A, Product_Master!C:C)</f>
        <v>Clothing</v>
      </c>
      <c r="J481" s="2">
        <f>_xlfn.XLOOKUP(E481, Product_Master!A:A, Product_Master!D:D)</f>
        <v>2000</v>
      </c>
      <c r="K481" s="2">
        <f t="shared" si="28"/>
        <v>43400</v>
      </c>
      <c r="L481" s="2">
        <f t="shared" si="29"/>
        <v>14000</v>
      </c>
      <c r="M481" s="2">
        <f t="shared" si="30"/>
        <v>29400</v>
      </c>
      <c r="N481" s="2">
        <f>_xlfn.XLOOKUP(D481, Sales_Rep_Master!A:A, Sales_Rep_Master!B:B)</f>
        <v>870000</v>
      </c>
      <c r="O481" s="4">
        <f t="shared" si="31"/>
        <v>4.9885057471264371E-2</v>
      </c>
    </row>
    <row r="482" spans="1:15" ht="15.75" hidden="1" x14ac:dyDescent="0.25">
      <c r="A482" s="3" t="s">
        <v>771</v>
      </c>
      <c r="B482" s="2" t="s">
        <v>505</v>
      </c>
      <c r="C482" s="2" t="s">
        <v>33</v>
      </c>
      <c r="D482" s="2" t="s">
        <v>10</v>
      </c>
      <c r="E482" s="2" t="s">
        <v>61</v>
      </c>
      <c r="F482" s="2">
        <v>7</v>
      </c>
      <c r="G482" s="2">
        <v>1273</v>
      </c>
      <c r="H482" s="2" t="str">
        <f>_xlfn.XLOOKUP(E482, Product_Master!A:A, Product_Master!B:B)</f>
        <v>Shoes</v>
      </c>
      <c r="I482" s="2" t="str">
        <f>_xlfn.XLOOKUP(E482, Product_Master!A:A, Product_Master!C:C)</f>
        <v>Clothing</v>
      </c>
      <c r="J482" s="2">
        <f>_xlfn.XLOOKUP(E482, Product_Master!A:A, Product_Master!D:D)</f>
        <v>2000</v>
      </c>
      <c r="K482" s="2">
        <f t="shared" si="28"/>
        <v>8911</v>
      </c>
      <c r="L482" s="2">
        <f t="shared" si="29"/>
        <v>14000</v>
      </c>
      <c r="M482" s="2">
        <f t="shared" si="30"/>
        <v>-5089</v>
      </c>
      <c r="N482" s="2">
        <f>_xlfn.XLOOKUP(D482, Sales_Rep_Master!A:A, Sales_Rep_Master!B:B)</f>
        <v>920000</v>
      </c>
      <c r="O482" s="4">
        <f t="shared" si="31"/>
        <v>9.6858695652173917E-3</v>
      </c>
    </row>
    <row r="483" spans="1:15" ht="15.75" hidden="1" x14ac:dyDescent="0.25">
      <c r="A483" s="3" t="s">
        <v>772</v>
      </c>
      <c r="B483" s="2" t="s">
        <v>189</v>
      </c>
      <c r="C483" s="2" t="s">
        <v>33</v>
      </c>
      <c r="D483" s="2" t="s">
        <v>10</v>
      </c>
      <c r="E483" s="2" t="s">
        <v>61</v>
      </c>
      <c r="F483" s="2">
        <v>13</v>
      </c>
      <c r="G483" s="2">
        <v>4876</v>
      </c>
      <c r="H483" s="2" t="str">
        <f>_xlfn.XLOOKUP(E483, Product_Master!A:A, Product_Master!B:B)</f>
        <v>Shoes</v>
      </c>
      <c r="I483" s="2" t="str">
        <f>_xlfn.XLOOKUP(E483, Product_Master!A:A, Product_Master!C:C)</f>
        <v>Clothing</v>
      </c>
      <c r="J483" s="2">
        <f>_xlfn.XLOOKUP(E483, Product_Master!A:A, Product_Master!D:D)</f>
        <v>2000</v>
      </c>
      <c r="K483" s="2">
        <f t="shared" si="28"/>
        <v>63388</v>
      </c>
      <c r="L483" s="2">
        <f t="shared" si="29"/>
        <v>26000</v>
      </c>
      <c r="M483" s="2">
        <f t="shared" si="30"/>
        <v>37388</v>
      </c>
      <c r="N483" s="2">
        <f>_xlfn.XLOOKUP(D483, Sales_Rep_Master!A:A, Sales_Rep_Master!B:B)</f>
        <v>920000</v>
      </c>
      <c r="O483" s="4">
        <f t="shared" si="31"/>
        <v>6.8900000000000003E-2</v>
      </c>
    </row>
    <row r="484" spans="1:15" ht="15.75" hidden="1" x14ac:dyDescent="0.25">
      <c r="A484" s="3" t="s">
        <v>773</v>
      </c>
      <c r="B484" s="2" t="s">
        <v>774</v>
      </c>
      <c r="C484" s="2" t="s">
        <v>33</v>
      </c>
      <c r="D484" s="2" t="s">
        <v>152</v>
      </c>
      <c r="E484" s="2" t="s">
        <v>15</v>
      </c>
      <c r="F484" s="2">
        <v>1</v>
      </c>
      <c r="G484" s="2">
        <v>848</v>
      </c>
      <c r="H484" s="2" t="str">
        <f>_xlfn.XLOOKUP(E484, Product_Master!A:A, Product_Master!B:B)</f>
        <v>Chair</v>
      </c>
      <c r="I484" s="2" t="str">
        <f>_xlfn.XLOOKUP(E484, Product_Master!A:A, Product_Master!C:C)</f>
        <v>Furniture</v>
      </c>
      <c r="J484" s="2">
        <f>_xlfn.XLOOKUP(E484, Product_Master!A:A, Product_Master!D:D)</f>
        <v>2500</v>
      </c>
      <c r="K484" s="2">
        <f t="shared" si="28"/>
        <v>848</v>
      </c>
      <c r="L484" s="2">
        <f t="shared" si="29"/>
        <v>2500</v>
      </c>
      <c r="M484" s="2">
        <f t="shared" si="30"/>
        <v>-1652</v>
      </c>
      <c r="N484" s="2">
        <f>_xlfn.XLOOKUP(D484, Sales_Rep_Master!A:A, Sales_Rep_Master!B:B)</f>
        <v>870000</v>
      </c>
      <c r="O484" s="4">
        <f t="shared" si="31"/>
        <v>9.7471264367816088E-4</v>
      </c>
    </row>
    <row r="485" spans="1:15" ht="15.75" hidden="1" x14ac:dyDescent="0.25">
      <c r="A485" s="3" t="s">
        <v>775</v>
      </c>
      <c r="B485" s="2" t="s">
        <v>663</v>
      </c>
      <c r="C485" s="2" t="s">
        <v>9</v>
      </c>
      <c r="D485" s="2" t="s">
        <v>54</v>
      </c>
      <c r="E485" s="2" t="s">
        <v>15</v>
      </c>
      <c r="F485" s="2">
        <v>6</v>
      </c>
      <c r="G485" s="2">
        <v>7549</v>
      </c>
      <c r="H485" s="2" t="str">
        <f>_xlfn.XLOOKUP(E485, Product_Master!A:A, Product_Master!B:B)</f>
        <v>Chair</v>
      </c>
      <c r="I485" s="2" t="str">
        <f>_xlfn.XLOOKUP(E485, Product_Master!A:A, Product_Master!C:C)</f>
        <v>Furniture</v>
      </c>
      <c r="J485" s="2">
        <f>_xlfn.XLOOKUP(E485, Product_Master!A:A, Product_Master!D:D)</f>
        <v>2500</v>
      </c>
      <c r="K485" s="2">
        <f t="shared" si="28"/>
        <v>45294</v>
      </c>
      <c r="L485" s="2">
        <f t="shared" si="29"/>
        <v>15000</v>
      </c>
      <c r="M485" s="2">
        <f t="shared" si="30"/>
        <v>30294</v>
      </c>
      <c r="N485" s="2">
        <f>_xlfn.XLOOKUP(D485, Sales_Rep_Master!A:A, Sales_Rep_Master!B:B)</f>
        <v>890000</v>
      </c>
      <c r="O485" s="4">
        <f t="shared" si="31"/>
        <v>5.0892134831460677E-2</v>
      </c>
    </row>
    <row r="486" spans="1:15" ht="15.75" x14ac:dyDescent="0.25">
      <c r="A486" s="3" t="s">
        <v>776</v>
      </c>
      <c r="B486" s="2" t="s">
        <v>777</v>
      </c>
      <c r="C486" s="2" t="s">
        <v>33</v>
      </c>
      <c r="D486" s="2" t="s">
        <v>19</v>
      </c>
      <c r="E486" s="2" t="s">
        <v>11</v>
      </c>
      <c r="F486" s="2">
        <v>1</v>
      </c>
      <c r="G486" s="2">
        <v>5790</v>
      </c>
      <c r="H486" s="2" t="str">
        <f>_xlfn.XLOOKUP(E486, Product_Master!A:A, Product_Master!B:B)</f>
        <v>Mobile</v>
      </c>
      <c r="I486" s="2" t="str">
        <f>_xlfn.XLOOKUP(E486, Product_Master!A:A, Product_Master!C:C)</f>
        <v>Electronics</v>
      </c>
      <c r="J486" s="2">
        <f>_xlfn.XLOOKUP(E486, Product_Master!A:A, Product_Master!D:D)</f>
        <v>18000</v>
      </c>
      <c r="K486" s="2">
        <f t="shared" si="28"/>
        <v>5790</v>
      </c>
      <c r="L486" s="2">
        <f t="shared" si="29"/>
        <v>18000</v>
      </c>
      <c r="M486" s="2">
        <f t="shared" si="30"/>
        <v>-12210</v>
      </c>
      <c r="N486" s="2">
        <f>_xlfn.XLOOKUP(D486, Sales_Rep_Master!A:A, Sales_Rep_Master!B:B)</f>
        <v>950000</v>
      </c>
      <c r="O486" s="4">
        <f t="shared" si="31"/>
        <v>6.094736842105263E-3</v>
      </c>
    </row>
    <row r="487" spans="1:15" ht="15.75" hidden="1" x14ac:dyDescent="0.25">
      <c r="A487" s="3" t="s">
        <v>778</v>
      </c>
      <c r="B487" s="2" t="s">
        <v>767</v>
      </c>
      <c r="C487" s="2" t="s">
        <v>18</v>
      </c>
      <c r="D487" s="2" t="s">
        <v>10</v>
      </c>
      <c r="E487" s="2" t="s">
        <v>34</v>
      </c>
      <c r="F487" s="2">
        <v>13</v>
      </c>
      <c r="G487" s="2">
        <v>2919</v>
      </c>
      <c r="H487" s="2" t="str">
        <f>_xlfn.XLOOKUP(E487, Product_Master!A:A, Product_Master!B:B)</f>
        <v>Jacket</v>
      </c>
      <c r="I487" s="2" t="str">
        <f>_xlfn.XLOOKUP(E487, Product_Master!A:A, Product_Master!C:C)</f>
        <v>Clothing</v>
      </c>
      <c r="J487" s="2">
        <f>_xlfn.XLOOKUP(E487, Product_Master!A:A, Product_Master!D:D)</f>
        <v>1500</v>
      </c>
      <c r="K487" s="2">
        <f t="shared" si="28"/>
        <v>37947</v>
      </c>
      <c r="L487" s="2">
        <f t="shared" si="29"/>
        <v>19500</v>
      </c>
      <c r="M487" s="2">
        <f t="shared" si="30"/>
        <v>18447</v>
      </c>
      <c r="N487" s="2">
        <f>_xlfn.XLOOKUP(D487, Sales_Rep_Master!A:A, Sales_Rep_Master!B:B)</f>
        <v>920000</v>
      </c>
      <c r="O487" s="4">
        <f t="shared" si="31"/>
        <v>4.1246739130434786E-2</v>
      </c>
    </row>
    <row r="488" spans="1:15" ht="15.75" x14ac:dyDescent="0.25">
      <c r="A488" s="3" t="s">
        <v>779</v>
      </c>
      <c r="B488" s="2" t="s">
        <v>128</v>
      </c>
      <c r="C488" s="2" t="s">
        <v>18</v>
      </c>
      <c r="D488" s="2" t="s">
        <v>54</v>
      </c>
      <c r="E488" s="2" t="s">
        <v>20</v>
      </c>
      <c r="F488" s="2">
        <v>8</v>
      </c>
      <c r="G488" s="2">
        <v>7873</v>
      </c>
      <c r="H488" s="2" t="str">
        <f>_xlfn.XLOOKUP(E488, Product_Master!A:A, Product_Master!B:B)</f>
        <v>Headphones</v>
      </c>
      <c r="I488" s="2" t="str">
        <f>_xlfn.XLOOKUP(E488, Product_Master!A:A, Product_Master!C:C)</f>
        <v>Electronics</v>
      </c>
      <c r="J488" s="2">
        <f>_xlfn.XLOOKUP(E488, Product_Master!A:A, Product_Master!D:D)</f>
        <v>2000</v>
      </c>
      <c r="K488" s="2">
        <f t="shared" si="28"/>
        <v>62984</v>
      </c>
      <c r="L488" s="2">
        <f t="shared" si="29"/>
        <v>16000</v>
      </c>
      <c r="M488" s="2">
        <f t="shared" si="30"/>
        <v>46984</v>
      </c>
      <c r="N488" s="2">
        <f>_xlfn.XLOOKUP(D488, Sales_Rep_Master!A:A, Sales_Rep_Master!B:B)</f>
        <v>890000</v>
      </c>
      <c r="O488" s="4">
        <f t="shared" si="31"/>
        <v>7.0768539325842691E-2</v>
      </c>
    </row>
    <row r="489" spans="1:15" ht="15.75" x14ac:dyDescent="0.25">
      <c r="A489" s="3" t="s">
        <v>780</v>
      </c>
      <c r="B489" s="2" t="s">
        <v>781</v>
      </c>
      <c r="C489" s="2" t="s">
        <v>9</v>
      </c>
      <c r="D489" s="2" t="s">
        <v>37</v>
      </c>
      <c r="E489" s="2" t="s">
        <v>11</v>
      </c>
      <c r="F489" s="2">
        <v>6</v>
      </c>
      <c r="G489" s="2">
        <v>958</v>
      </c>
      <c r="H489" s="2" t="str">
        <f>_xlfn.XLOOKUP(E489, Product_Master!A:A, Product_Master!B:B)</f>
        <v>Mobile</v>
      </c>
      <c r="I489" s="2" t="str">
        <f>_xlfn.XLOOKUP(E489, Product_Master!A:A, Product_Master!C:C)</f>
        <v>Electronics</v>
      </c>
      <c r="J489" s="2">
        <f>_xlfn.XLOOKUP(E489, Product_Master!A:A, Product_Master!D:D)</f>
        <v>18000</v>
      </c>
      <c r="K489" s="2">
        <f t="shared" si="28"/>
        <v>5748</v>
      </c>
      <c r="L489" s="2">
        <f t="shared" si="29"/>
        <v>108000</v>
      </c>
      <c r="M489" s="2">
        <f t="shared" si="30"/>
        <v>-102252</v>
      </c>
      <c r="N489" s="2">
        <f>_xlfn.XLOOKUP(D489, Sales_Rep_Master!A:A, Sales_Rep_Master!B:B)</f>
        <v>850000</v>
      </c>
      <c r="O489" s="4">
        <f t="shared" si="31"/>
        <v>6.7623529411764702E-3</v>
      </c>
    </row>
    <row r="490" spans="1:15" ht="15.75" x14ac:dyDescent="0.25">
      <c r="A490" s="3" t="s">
        <v>782</v>
      </c>
      <c r="B490" s="2" t="s">
        <v>484</v>
      </c>
      <c r="C490" s="2" t="s">
        <v>18</v>
      </c>
      <c r="D490" s="2" t="s">
        <v>27</v>
      </c>
      <c r="E490" s="2" t="s">
        <v>20</v>
      </c>
      <c r="F490" s="2">
        <v>3</v>
      </c>
      <c r="G490" s="2">
        <v>4747</v>
      </c>
      <c r="H490" s="2" t="str">
        <f>_xlfn.XLOOKUP(E490, Product_Master!A:A, Product_Master!B:B)</f>
        <v>Headphones</v>
      </c>
      <c r="I490" s="2" t="str">
        <f>_xlfn.XLOOKUP(E490, Product_Master!A:A, Product_Master!C:C)</f>
        <v>Electronics</v>
      </c>
      <c r="J490" s="2">
        <f>_xlfn.XLOOKUP(E490, Product_Master!A:A, Product_Master!D:D)</f>
        <v>2000</v>
      </c>
      <c r="K490" s="2">
        <f t="shared" si="28"/>
        <v>14241</v>
      </c>
      <c r="L490" s="2">
        <f t="shared" si="29"/>
        <v>6000</v>
      </c>
      <c r="M490" s="2">
        <f t="shared" si="30"/>
        <v>8241</v>
      </c>
      <c r="N490" s="2">
        <f>_xlfn.XLOOKUP(D490, Sales_Rep_Master!A:A, Sales_Rep_Master!B:B)</f>
        <v>800000</v>
      </c>
      <c r="O490" s="4">
        <f t="shared" si="31"/>
        <v>1.7801250000000001E-2</v>
      </c>
    </row>
    <row r="491" spans="1:15" ht="15.75" x14ac:dyDescent="0.25">
      <c r="A491" s="3" t="s">
        <v>783</v>
      </c>
      <c r="B491" s="2" t="s">
        <v>784</v>
      </c>
      <c r="C491" s="2" t="s">
        <v>9</v>
      </c>
      <c r="D491" s="2" t="s">
        <v>19</v>
      </c>
      <c r="E491" s="2" t="s">
        <v>20</v>
      </c>
      <c r="F491" s="2">
        <v>4</v>
      </c>
      <c r="G491" s="2">
        <v>2342</v>
      </c>
      <c r="H491" s="2" t="str">
        <f>_xlfn.XLOOKUP(E491, Product_Master!A:A, Product_Master!B:B)</f>
        <v>Headphones</v>
      </c>
      <c r="I491" s="2" t="str">
        <f>_xlfn.XLOOKUP(E491, Product_Master!A:A, Product_Master!C:C)</f>
        <v>Electronics</v>
      </c>
      <c r="J491" s="2">
        <f>_xlfn.XLOOKUP(E491, Product_Master!A:A, Product_Master!D:D)</f>
        <v>2000</v>
      </c>
      <c r="K491" s="2">
        <f t="shared" si="28"/>
        <v>9368</v>
      </c>
      <c r="L491" s="2">
        <f t="shared" si="29"/>
        <v>8000</v>
      </c>
      <c r="M491" s="2">
        <f t="shared" si="30"/>
        <v>1368</v>
      </c>
      <c r="N491" s="2">
        <f>_xlfn.XLOOKUP(D491, Sales_Rep_Master!A:A, Sales_Rep_Master!B:B)</f>
        <v>950000</v>
      </c>
      <c r="O491" s="4">
        <f t="shared" si="31"/>
        <v>9.8610526315789475E-3</v>
      </c>
    </row>
    <row r="492" spans="1:15" ht="15.75" hidden="1" x14ac:dyDescent="0.25">
      <c r="A492" s="3" t="s">
        <v>785</v>
      </c>
      <c r="B492" s="2" t="s">
        <v>786</v>
      </c>
      <c r="C492" s="2" t="s">
        <v>18</v>
      </c>
      <c r="D492" s="2" t="s">
        <v>27</v>
      </c>
      <c r="E492" s="2" t="s">
        <v>40</v>
      </c>
      <c r="F492" s="2">
        <v>6</v>
      </c>
      <c r="G492" s="2">
        <v>4483</v>
      </c>
      <c r="H492" s="2" t="str">
        <f>_xlfn.XLOOKUP(E492, Product_Master!A:A, Product_Master!B:B)</f>
        <v>Table</v>
      </c>
      <c r="I492" s="2" t="str">
        <f>_xlfn.XLOOKUP(E492, Product_Master!A:A, Product_Master!C:C)</f>
        <v>Furniture</v>
      </c>
      <c r="J492" s="2">
        <f>_xlfn.XLOOKUP(E492, Product_Master!A:A, Product_Master!D:D)</f>
        <v>7000</v>
      </c>
      <c r="K492" s="2">
        <f t="shared" si="28"/>
        <v>26898</v>
      </c>
      <c r="L492" s="2">
        <f t="shared" si="29"/>
        <v>42000</v>
      </c>
      <c r="M492" s="2">
        <f t="shared" si="30"/>
        <v>-15102</v>
      </c>
      <c r="N492" s="2">
        <f>_xlfn.XLOOKUP(D492, Sales_Rep_Master!A:A, Sales_Rep_Master!B:B)</f>
        <v>800000</v>
      </c>
      <c r="O492" s="4">
        <f t="shared" si="31"/>
        <v>3.36225E-2</v>
      </c>
    </row>
    <row r="493" spans="1:15" ht="15.75" hidden="1" x14ac:dyDescent="0.25">
      <c r="A493" s="3" t="s">
        <v>787</v>
      </c>
      <c r="B493" s="2" t="s">
        <v>357</v>
      </c>
      <c r="C493" s="2" t="s">
        <v>9</v>
      </c>
      <c r="D493" s="2" t="s">
        <v>54</v>
      </c>
      <c r="E493" s="2" t="s">
        <v>23</v>
      </c>
      <c r="F493" s="2">
        <v>7</v>
      </c>
      <c r="G493" s="2">
        <v>815</v>
      </c>
      <c r="H493" s="2" t="str">
        <f>_xlfn.XLOOKUP(E493, Product_Master!A:A, Product_Master!B:B)</f>
        <v>Sofa</v>
      </c>
      <c r="I493" s="2" t="str">
        <f>_xlfn.XLOOKUP(E493, Product_Master!A:A, Product_Master!C:C)</f>
        <v>Furniture</v>
      </c>
      <c r="J493" s="2">
        <f>_xlfn.XLOOKUP(E493, Product_Master!A:A, Product_Master!D:D)</f>
        <v>15000</v>
      </c>
      <c r="K493" s="2">
        <f t="shared" si="28"/>
        <v>5705</v>
      </c>
      <c r="L493" s="2">
        <f t="shared" si="29"/>
        <v>105000</v>
      </c>
      <c r="M493" s="2">
        <f t="shared" si="30"/>
        <v>-99295</v>
      </c>
      <c r="N493" s="2">
        <f>_xlfn.XLOOKUP(D493, Sales_Rep_Master!A:A, Sales_Rep_Master!B:B)</f>
        <v>890000</v>
      </c>
      <c r="O493" s="4">
        <f t="shared" si="31"/>
        <v>6.410112359550562E-3</v>
      </c>
    </row>
    <row r="494" spans="1:15" ht="15.75" hidden="1" x14ac:dyDescent="0.25">
      <c r="A494" s="3" t="s">
        <v>788</v>
      </c>
      <c r="B494" s="2" t="s">
        <v>155</v>
      </c>
      <c r="C494" s="2" t="s">
        <v>33</v>
      </c>
      <c r="D494" s="2" t="s">
        <v>152</v>
      </c>
      <c r="E494" s="2" t="s">
        <v>61</v>
      </c>
      <c r="F494" s="2">
        <v>9</v>
      </c>
      <c r="G494" s="2">
        <v>1016</v>
      </c>
      <c r="H494" s="2" t="str">
        <f>_xlfn.XLOOKUP(E494, Product_Master!A:A, Product_Master!B:B)</f>
        <v>Shoes</v>
      </c>
      <c r="I494" s="2" t="str">
        <f>_xlfn.XLOOKUP(E494, Product_Master!A:A, Product_Master!C:C)</f>
        <v>Clothing</v>
      </c>
      <c r="J494" s="2">
        <f>_xlfn.XLOOKUP(E494, Product_Master!A:A, Product_Master!D:D)</f>
        <v>2000</v>
      </c>
      <c r="K494" s="2">
        <f t="shared" si="28"/>
        <v>9144</v>
      </c>
      <c r="L494" s="2">
        <f t="shared" si="29"/>
        <v>18000</v>
      </c>
      <c r="M494" s="2">
        <f t="shared" si="30"/>
        <v>-8856</v>
      </c>
      <c r="N494" s="2">
        <f>_xlfn.XLOOKUP(D494, Sales_Rep_Master!A:A, Sales_Rep_Master!B:B)</f>
        <v>870000</v>
      </c>
      <c r="O494" s="4">
        <f t="shared" si="31"/>
        <v>1.0510344827586207E-2</v>
      </c>
    </row>
    <row r="495" spans="1:15" ht="15.75" hidden="1" x14ac:dyDescent="0.25">
      <c r="A495" s="3" t="s">
        <v>789</v>
      </c>
      <c r="B495" s="2" t="s">
        <v>178</v>
      </c>
      <c r="C495" s="2" t="s">
        <v>9</v>
      </c>
      <c r="D495" s="2" t="s">
        <v>10</v>
      </c>
      <c r="E495" s="2" t="s">
        <v>15</v>
      </c>
      <c r="F495" s="2">
        <v>11</v>
      </c>
      <c r="G495" s="2">
        <v>7606</v>
      </c>
      <c r="H495" s="2" t="str">
        <f>_xlfn.XLOOKUP(E495, Product_Master!A:A, Product_Master!B:B)</f>
        <v>Chair</v>
      </c>
      <c r="I495" s="2" t="str">
        <f>_xlfn.XLOOKUP(E495, Product_Master!A:A, Product_Master!C:C)</f>
        <v>Furniture</v>
      </c>
      <c r="J495" s="2">
        <f>_xlfn.XLOOKUP(E495, Product_Master!A:A, Product_Master!D:D)</f>
        <v>2500</v>
      </c>
      <c r="K495" s="2">
        <f t="shared" si="28"/>
        <v>83666</v>
      </c>
      <c r="L495" s="2">
        <f t="shared" si="29"/>
        <v>27500</v>
      </c>
      <c r="M495" s="2">
        <f t="shared" si="30"/>
        <v>56166</v>
      </c>
      <c r="N495" s="2">
        <f>_xlfn.XLOOKUP(D495, Sales_Rep_Master!A:A, Sales_Rep_Master!B:B)</f>
        <v>920000</v>
      </c>
      <c r="O495" s="4">
        <f t="shared" si="31"/>
        <v>9.0941304347826088E-2</v>
      </c>
    </row>
    <row r="496" spans="1:15" ht="15.75" hidden="1" x14ac:dyDescent="0.25">
      <c r="A496" s="3" t="s">
        <v>790</v>
      </c>
      <c r="B496" s="2" t="s">
        <v>720</v>
      </c>
      <c r="C496" s="2" t="s">
        <v>18</v>
      </c>
      <c r="D496" s="2" t="s">
        <v>51</v>
      </c>
      <c r="E496" s="2" t="s">
        <v>15</v>
      </c>
      <c r="F496" s="2">
        <v>9</v>
      </c>
      <c r="G496" s="2">
        <v>4483</v>
      </c>
      <c r="H496" s="2" t="str">
        <f>_xlfn.XLOOKUP(E496, Product_Master!A:A, Product_Master!B:B)</f>
        <v>Chair</v>
      </c>
      <c r="I496" s="2" t="str">
        <f>_xlfn.XLOOKUP(E496, Product_Master!A:A, Product_Master!C:C)</f>
        <v>Furniture</v>
      </c>
      <c r="J496" s="2">
        <f>_xlfn.XLOOKUP(E496, Product_Master!A:A, Product_Master!D:D)</f>
        <v>2500</v>
      </c>
      <c r="K496" s="2">
        <f t="shared" si="28"/>
        <v>40347</v>
      </c>
      <c r="L496" s="2">
        <f t="shared" si="29"/>
        <v>22500</v>
      </c>
      <c r="M496" s="2">
        <f t="shared" si="30"/>
        <v>17847</v>
      </c>
      <c r="N496" s="2">
        <f>_xlfn.XLOOKUP(D496, Sales_Rep_Master!A:A, Sales_Rep_Master!B:B)</f>
        <v>900000</v>
      </c>
      <c r="O496" s="4">
        <f t="shared" si="31"/>
        <v>4.4830000000000002E-2</v>
      </c>
    </row>
    <row r="497" spans="1:15" ht="15.75" hidden="1" x14ac:dyDescent="0.25">
      <c r="A497" s="3" t="s">
        <v>791</v>
      </c>
      <c r="B497" s="2" t="s">
        <v>264</v>
      </c>
      <c r="C497" s="2" t="s">
        <v>18</v>
      </c>
      <c r="D497" s="2" t="s">
        <v>19</v>
      </c>
      <c r="E497" s="2" t="s">
        <v>61</v>
      </c>
      <c r="F497" s="2">
        <v>15</v>
      </c>
      <c r="G497" s="2">
        <v>6084</v>
      </c>
      <c r="H497" s="2" t="str">
        <f>_xlfn.XLOOKUP(E497, Product_Master!A:A, Product_Master!B:B)</f>
        <v>Shoes</v>
      </c>
      <c r="I497" s="2" t="str">
        <f>_xlfn.XLOOKUP(E497, Product_Master!A:A, Product_Master!C:C)</f>
        <v>Clothing</v>
      </c>
      <c r="J497" s="2">
        <f>_xlfn.XLOOKUP(E497, Product_Master!A:A, Product_Master!D:D)</f>
        <v>2000</v>
      </c>
      <c r="K497" s="2">
        <f t="shared" si="28"/>
        <v>91260</v>
      </c>
      <c r="L497" s="2">
        <f t="shared" si="29"/>
        <v>30000</v>
      </c>
      <c r="M497" s="2">
        <f t="shared" si="30"/>
        <v>61260</v>
      </c>
      <c r="N497" s="2">
        <f>_xlfn.XLOOKUP(D497, Sales_Rep_Master!A:A, Sales_Rep_Master!B:B)</f>
        <v>950000</v>
      </c>
      <c r="O497" s="4">
        <f t="shared" si="31"/>
        <v>9.6063157894736836E-2</v>
      </c>
    </row>
    <row r="498" spans="1:15" ht="15.75" x14ac:dyDescent="0.25">
      <c r="A498" s="3" t="s">
        <v>792</v>
      </c>
      <c r="B498" s="2" t="s">
        <v>73</v>
      </c>
      <c r="C498" s="2" t="s">
        <v>33</v>
      </c>
      <c r="D498" s="2" t="s">
        <v>152</v>
      </c>
      <c r="E498" s="2" t="s">
        <v>20</v>
      </c>
      <c r="F498" s="2">
        <v>7</v>
      </c>
      <c r="G498" s="2">
        <v>2431</v>
      </c>
      <c r="H498" s="2" t="str">
        <f>_xlfn.XLOOKUP(E498, Product_Master!A:A, Product_Master!B:B)</f>
        <v>Headphones</v>
      </c>
      <c r="I498" s="2" t="str">
        <f>_xlfn.XLOOKUP(E498, Product_Master!A:A, Product_Master!C:C)</f>
        <v>Electronics</v>
      </c>
      <c r="J498" s="2">
        <f>_xlfn.XLOOKUP(E498, Product_Master!A:A, Product_Master!D:D)</f>
        <v>2000</v>
      </c>
      <c r="K498" s="2">
        <f t="shared" si="28"/>
        <v>17017</v>
      </c>
      <c r="L498" s="2">
        <f t="shared" si="29"/>
        <v>14000</v>
      </c>
      <c r="M498" s="2">
        <f t="shared" si="30"/>
        <v>3017</v>
      </c>
      <c r="N498" s="2">
        <f>_xlfn.XLOOKUP(D498, Sales_Rep_Master!A:A, Sales_Rep_Master!B:B)</f>
        <v>870000</v>
      </c>
      <c r="O498" s="4">
        <f t="shared" si="31"/>
        <v>1.9559770114942528E-2</v>
      </c>
    </row>
    <row r="499" spans="1:15" ht="15.75" hidden="1" x14ac:dyDescent="0.25">
      <c r="A499" s="3" t="s">
        <v>793</v>
      </c>
      <c r="B499" s="2" t="s">
        <v>794</v>
      </c>
      <c r="C499" s="2" t="s">
        <v>26</v>
      </c>
      <c r="D499" s="2" t="s">
        <v>10</v>
      </c>
      <c r="E499" s="2" t="s">
        <v>61</v>
      </c>
      <c r="F499" s="2">
        <v>10</v>
      </c>
      <c r="G499" s="2">
        <v>2502</v>
      </c>
      <c r="H499" s="2" t="str">
        <f>_xlfn.XLOOKUP(E499, Product_Master!A:A, Product_Master!B:B)</f>
        <v>Shoes</v>
      </c>
      <c r="I499" s="2" t="str">
        <f>_xlfn.XLOOKUP(E499, Product_Master!A:A, Product_Master!C:C)</f>
        <v>Clothing</v>
      </c>
      <c r="J499" s="2">
        <f>_xlfn.XLOOKUP(E499, Product_Master!A:A, Product_Master!D:D)</f>
        <v>2000</v>
      </c>
      <c r="K499" s="2">
        <f t="shared" si="28"/>
        <v>25020</v>
      </c>
      <c r="L499" s="2">
        <f t="shared" si="29"/>
        <v>20000</v>
      </c>
      <c r="M499" s="2">
        <f t="shared" si="30"/>
        <v>5020</v>
      </c>
      <c r="N499" s="2">
        <f>_xlfn.XLOOKUP(D499, Sales_Rep_Master!A:A, Sales_Rep_Master!B:B)</f>
        <v>920000</v>
      </c>
      <c r="O499" s="4">
        <f t="shared" si="31"/>
        <v>2.7195652173913044E-2</v>
      </c>
    </row>
    <row r="500" spans="1:15" ht="15.75" x14ac:dyDescent="0.25">
      <c r="A500" s="3" t="s">
        <v>795</v>
      </c>
      <c r="B500" s="2" t="s">
        <v>696</v>
      </c>
      <c r="C500" s="2" t="s">
        <v>9</v>
      </c>
      <c r="D500" s="2" t="s">
        <v>37</v>
      </c>
      <c r="E500" s="2" t="s">
        <v>11</v>
      </c>
      <c r="F500" s="2">
        <v>4</v>
      </c>
      <c r="G500" s="2">
        <v>5564</v>
      </c>
      <c r="H500" s="2" t="str">
        <f>_xlfn.XLOOKUP(E500, Product_Master!A:A, Product_Master!B:B)</f>
        <v>Mobile</v>
      </c>
      <c r="I500" s="2" t="str">
        <f>_xlfn.XLOOKUP(E500, Product_Master!A:A, Product_Master!C:C)</f>
        <v>Electronics</v>
      </c>
      <c r="J500" s="2">
        <f>_xlfn.XLOOKUP(E500, Product_Master!A:A, Product_Master!D:D)</f>
        <v>18000</v>
      </c>
      <c r="K500" s="2">
        <f t="shared" si="28"/>
        <v>22256</v>
      </c>
      <c r="L500" s="2">
        <f t="shared" si="29"/>
        <v>72000</v>
      </c>
      <c r="M500" s="2">
        <f t="shared" si="30"/>
        <v>-49744</v>
      </c>
      <c r="N500" s="2">
        <f>_xlfn.XLOOKUP(D500, Sales_Rep_Master!A:A, Sales_Rep_Master!B:B)</f>
        <v>850000</v>
      </c>
      <c r="O500" s="4">
        <f t="shared" si="31"/>
        <v>2.6183529411764706E-2</v>
      </c>
    </row>
    <row r="501" spans="1:15" ht="15.75" hidden="1" x14ac:dyDescent="0.25">
      <c r="A501" s="3" t="s">
        <v>796</v>
      </c>
      <c r="B501" s="2" t="s">
        <v>46</v>
      </c>
      <c r="C501" s="2" t="s">
        <v>18</v>
      </c>
      <c r="D501" s="2" t="s">
        <v>152</v>
      </c>
      <c r="E501" s="2" t="s">
        <v>15</v>
      </c>
      <c r="F501" s="2">
        <v>14</v>
      </c>
      <c r="G501" s="2">
        <v>4030</v>
      </c>
      <c r="H501" s="2" t="str">
        <f>_xlfn.XLOOKUP(E501, Product_Master!A:A, Product_Master!B:B)</f>
        <v>Chair</v>
      </c>
      <c r="I501" s="2" t="str">
        <f>_xlfn.XLOOKUP(E501, Product_Master!A:A, Product_Master!C:C)</f>
        <v>Furniture</v>
      </c>
      <c r="J501" s="2">
        <f>_xlfn.XLOOKUP(E501, Product_Master!A:A, Product_Master!D:D)</f>
        <v>2500</v>
      </c>
      <c r="K501" s="2">
        <f t="shared" si="28"/>
        <v>56420</v>
      </c>
      <c r="L501" s="2">
        <f t="shared" si="29"/>
        <v>35000</v>
      </c>
      <c r="M501" s="2">
        <f t="shared" si="30"/>
        <v>21420</v>
      </c>
      <c r="N501" s="2">
        <f>_xlfn.XLOOKUP(D501, Sales_Rep_Master!A:A, Sales_Rep_Master!B:B)</f>
        <v>870000</v>
      </c>
      <c r="O501" s="4">
        <f t="shared" si="31"/>
        <v>6.4850574712643674E-2</v>
      </c>
    </row>
    <row r="502" spans="1:15" ht="15.75" x14ac:dyDescent="0.25">
      <c r="A502" s="3" t="s">
        <v>797</v>
      </c>
      <c r="B502" s="2" t="s">
        <v>224</v>
      </c>
      <c r="C502" s="2" t="s">
        <v>9</v>
      </c>
      <c r="D502" s="2" t="s">
        <v>37</v>
      </c>
      <c r="E502" s="2" t="s">
        <v>11</v>
      </c>
      <c r="F502" s="2">
        <v>13</v>
      </c>
      <c r="G502" s="2">
        <v>2249</v>
      </c>
      <c r="H502" s="2" t="str">
        <f>_xlfn.XLOOKUP(E502, Product_Master!A:A, Product_Master!B:B)</f>
        <v>Mobile</v>
      </c>
      <c r="I502" s="2" t="str">
        <f>_xlfn.XLOOKUP(E502, Product_Master!A:A, Product_Master!C:C)</f>
        <v>Electronics</v>
      </c>
      <c r="J502" s="2">
        <f>_xlfn.XLOOKUP(E502, Product_Master!A:A, Product_Master!D:D)</f>
        <v>18000</v>
      </c>
      <c r="K502" s="2">
        <f t="shared" si="28"/>
        <v>29237</v>
      </c>
      <c r="L502" s="2">
        <f t="shared" si="29"/>
        <v>234000</v>
      </c>
      <c r="M502" s="2">
        <f t="shared" si="30"/>
        <v>-204763</v>
      </c>
      <c r="N502" s="2">
        <f>_xlfn.XLOOKUP(D502, Sales_Rep_Master!A:A, Sales_Rep_Master!B:B)</f>
        <v>850000</v>
      </c>
      <c r="O502" s="4">
        <f t="shared" si="31"/>
        <v>3.4396470588235292E-2</v>
      </c>
    </row>
    <row r="503" spans="1:15" ht="15.75" x14ac:dyDescent="0.25">
      <c r="A503" s="3" t="s">
        <v>798</v>
      </c>
      <c r="B503" s="2" t="s">
        <v>799</v>
      </c>
      <c r="C503" s="2" t="s">
        <v>9</v>
      </c>
      <c r="D503" s="2" t="s">
        <v>37</v>
      </c>
      <c r="E503" s="2" t="s">
        <v>11</v>
      </c>
      <c r="F503" s="2">
        <v>2</v>
      </c>
      <c r="G503" s="2">
        <v>5969</v>
      </c>
      <c r="H503" s="2" t="str">
        <f>_xlfn.XLOOKUP(E503, Product_Master!A:A, Product_Master!B:B)</f>
        <v>Mobile</v>
      </c>
      <c r="I503" s="2" t="str">
        <f>_xlfn.XLOOKUP(E503, Product_Master!A:A, Product_Master!C:C)</f>
        <v>Electronics</v>
      </c>
      <c r="J503" s="2">
        <f>_xlfn.XLOOKUP(E503, Product_Master!A:A, Product_Master!D:D)</f>
        <v>18000</v>
      </c>
      <c r="K503" s="2">
        <f t="shared" si="28"/>
        <v>11938</v>
      </c>
      <c r="L503" s="2">
        <f t="shared" si="29"/>
        <v>36000</v>
      </c>
      <c r="M503" s="2">
        <f t="shared" si="30"/>
        <v>-24062</v>
      </c>
      <c r="N503" s="2">
        <f>_xlfn.XLOOKUP(D503, Sales_Rep_Master!A:A, Sales_Rep_Master!B:B)</f>
        <v>850000</v>
      </c>
      <c r="O503" s="4">
        <f t="shared" si="31"/>
        <v>1.4044705882352942E-2</v>
      </c>
    </row>
    <row r="504" spans="1:15" ht="15.75" hidden="1" x14ac:dyDescent="0.25">
      <c r="A504" s="3" t="s">
        <v>800</v>
      </c>
      <c r="B504" s="2" t="s">
        <v>801</v>
      </c>
      <c r="C504" s="2" t="s">
        <v>9</v>
      </c>
      <c r="D504" s="2" t="s">
        <v>152</v>
      </c>
      <c r="E504" s="2" t="s">
        <v>40</v>
      </c>
      <c r="F504" s="2">
        <v>5</v>
      </c>
      <c r="G504" s="2">
        <v>6573</v>
      </c>
      <c r="H504" s="2" t="str">
        <f>_xlfn.XLOOKUP(E504, Product_Master!A:A, Product_Master!B:B)</f>
        <v>Table</v>
      </c>
      <c r="I504" s="2" t="str">
        <f>_xlfn.XLOOKUP(E504, Product_Master!A:A, Product_Master!C:C)</f>
        <v>Furniture</v>
      </c>
      <c r="J504" s="2">
        <f>_xlfn.XLOOKUP(E504, Product_Master!A:A, Product_Master!D:D)</f>
        <v>7000</v>
      </c>
      <c r="K504" s="2">
        <f t="shared" si="28"/>
        <v>32865</v>
      </c>
      <c r="L504" s="2">
        <f t="shared" si="29"/>
        <v>35000</v>
      </c>
      <c r="M504" s="2">
        <f t="shared" si="30"/>
        <v>-2135</v>
      </c>
      <c r="N504" s="2">
        <f>_xlfn.XLOOKUP(D504, Sales_Rep_Master!A:A, Sales_Rep_Master!B:B)</f>
        <v>870000</v>
      </c>
      <c r="O504" s="4">
        <f t="shared" si="31"/>
        <v>3.7775862068965514E-2</v>
      </c>
    </row>
    <row r="505" spans="1:15" ht="15.75" hidden="1" x14ac:dyDescent="0.25">
      <c r="A505" s="3" t="s">
        <v>802</v>
      </c>
      <c r="B505" s="2" t="s">
        <v>628</v>
      </c>
      <c r="C505" s="2" t="s">
        <v>26</v>
      </c>
      <c r="D505" s="2" t="s">
        <v>152</v>
      </c>
      <c r="E505" s="2" t="s">
        <v>34</v>
      </c>
      <c r="F505" s="2">
        <v>10</v>
      </c>
      <c r="G505" s="2">
        <v>6997</v>
      </c>
      <c r="H505" s="2" t="str">
        <f>_xlfn.XLOOKUP(E505, Product_Master!A:A, Product_Master!B:B)</f>
        <v>Jacket</v>
      </c>
      <c r="I505" s="2" t="str">
        <f>_xlfn.XLOOKUP(E505, Product_Master!A:A, Product_Master!C:C)</f>
        <v>Clothing</v>
      </c>
      <c r="J505" s="2">
        <f>_xlfn.XLOOKUP(E505, Product_Master!A:A, Product_Master!D:D)</f>
        <v>1500</v>
      </c>
      <c r="K505" s="2">
        <f t="shared" si="28"/>
        <v>69970</v>
      </c>
      <c r="L505" s="2">
        <f t="shared" si="29"/>
        <v>15000</v>
      </c>
      <c r="M505" s="2">
        <f t="shared" si="30"/>
        <v>54970</v>
      </c>
      <c r="N505" s="2">
        <f>_xlfn.XLOOKUP(D505, Sales_Rep_Master!A:A, Sales_Rep_Master!B:B)</f>
        <v>870000</v>
      </c>
      <c r="O505" s="4">
        <f t="shared" si="31"/>
        <v>8.0425287356321845E-2</v>
      </c>
    </row>
    <row r="506" spans="1:15" ht="15.75" hidden="1" x14ac:dyDescent="0.25">
      <c r="A506" s="3" t="s">
        <v>803</v>
      </c>
      <c r="B506" s="2" t="s">
        <v>804</v>
      </c>
      <c r="C506" s="2" t="s">
        <v>26</v>
      </c>
      <c r="D506" s="2" t="s">
        <v>19</v>
      </c>
      <c r="E506" s="2" t="s">
        <v>15</v>
      </c>
      <c r="F506" s="2">
        <v>14</v>
      </c>
      <c r="G506" s="2">
        <v>7228</v>
      </c>
      <c r="H506" s="2" t="str">
        <f>_xlfn.XLOOKUP(E506, Product_Master!A:A, Product_Master!B:B)</f>
        <v>Chair</v>
      </c>
      <c r="I506" s="2" t="str">
        <f>_xlfn.XLOOKUP(E506, Product_Master!A:A, Product_Master!C:C)</f>
        <v>Furniture</v>
      </c>
      <c r="J506" s="2">
        <f>_xlfn.XLOOKUP(E506, Product_Master!A:A, Product_Master!D:D)</f>
        <v>2500</v>
      </c>
      <c r="K506" s="2">
        <f t="shared" si="28"/>
        <v>101192</v>
      </c>
      <c r="L506" s="2">
        <f t="shared" si="29"/>
        <v>35000</v>
      </c>
      <c r="M506" s="2">
        <f t="shared" si="30"/>
        <v>66192</v>
      </c>
      <c r="N506" s="2">
        <f>_xlfn.XLOOKUP(D506, Sales_Rep_Master!A:A, Sales_Rep_Master!B:B)</f>
        <v>950000</v>
      </c>
      <c r="O506" s="4">
        <f t="shared" si="31"/>
        <v>0.1065178947368421</v>
      </c>
    </row>
    <row r="507" spans="1:15" ht="15.75" hidden="1" x14ac:dyDescent="0.25">
      <c r="A507" s="3" t="s">
        <v>805</v>
      </c>
      <c r="B507" s="2" t="s">
        <v>329</v>
      </c>
      <c r="C507" s="2" t="s">
        <v>9</v>
      </c>
      <c r="D507" s="2" t="s">
        <v>37</v>
      </c>
      <c r="E507" s="2" t="s">
        <v>61</v>
      </c>
      <c r="F507" s="2">
        <v>4</v>
      </c>
      <c r="G507" s="2">
        <v>7651</v>
      </c>
      <c r="H507" s="2" t="str">
        <f>_xlfn.XLOOKUP(E507, Product_Master!A:A, Product_Master!B:B)</f>
        <v>Shoes</v>
      </c>
      <c r="I507" s="2" t="str">
        <f>_xlfn.XLOOKUP(E507, Product_Master!A:A, Product_Master!C:C)</f>
        <v>Clothing</v>
      </c>
      <c r="J507" s="2">
        <f>_xlfn.XLOOKUP(E507, Product_Master!A:A, Product_Master!D:D)</f>
        <v>2000</v>
      </c>
      <c r="K507" s="2">
        <f t="shared" si="28"/>
        <v>30604</v>
      </c>
      <c r="L507" s="2">
        <f t="shared" si="29"/>
        <v>8000</v>
      </c>
      <c r="M507" s="2">
        <f t="shared" si="30"/>
        <v>22604</v>
      </c>
      <c r="N507" s="2">
        <f>_xlfn.XLOOKUP(D507, Sales_Rep_Master!A:A, Sales_Rep_Master!B:B)</f>
        <v>850000</v>
      </c>
      <c r="O507" s="4">
        <f t="shared" si="31"/>
        <v>3.6004705882352939E-2</v>
      </c>
    </row>
    <row r="508" spans="1:15" ht="15.75" hidden="1" x14ac:dyDescent="0.25">
      <c r="A508" s="3" t="s">
        <v>806</v>
      </c>
      <c r="B508" s="2" t="s">
        <v>649</v>
      </c>
      <c r="C508" s="2" t="s">
        <v>18</v>
      </c>
      <c r="D508" s="2" t="s">
        <v>19</v>
      </c>
      <c r="E508" s="2" t="s">
        <v>23</v>
      </c>
      <c r="F508" s="2">
        <v>9</v>
      </c>
      <c r="G508" s="2">
        <v>4825</v>
      </c>
      <c r="H508" s="2" t="str">
        <f>_xlfn.XLOOKUP(E508, Product_Master!A:A, Product_Master!B:B)</f>
        <v>Sofa</v>
      </c>
      <c r="I508" s="2" t="str">
        <f>_xlfn.XLOOKUP(E508, Product_Master!A:A, Product_Master!C:C)</f>
        <v>Furniture</v>
      </c>
      <c r="J508" s="2">
        <f>_xlfn.XLOOKUP(E508, Product_Master!A:A, Product_Master!D:D)</f>
        <v>15000</v>
      </c>
      <c r="K508" s="2">
        <f t="shared" si="28"/>
        <v>43425</v>
      </c>
      <c r="L508" s="2">
        <f t="shared" si="29"/>
        <v>135000</v>
      </c>
      <c r="M508" s="2">
        <f t="shared" si="30"/>
        <v>-91575</v>
      </c>
      <c r="N508" s="2">
        <f>_xlfn.XLOOKUP(D508, Sales_Rep_Master!A:A, Sales_Rep_Master!B:B)</f>
        <v>950000</v>
      </c>
      <c r="O508" s="4">
        <f t="shared" si="31"/>
        <v>4.5710526315789472E-2</v>
      </c>
    </row>
    <row r="509" spans="1:15" ht="15.75" hidden="1" x14ac:dyDescent="0.25">
      <c r="A509" s="3" t="s">
        <v>807</v>
      </c>
      <c r="B509" s="2" t="s">
        <v>801</v>
      </c>
      <c r="C509" s="2" t="s">
        <v>26</v>
      </c>
      <c r="D509" s="2" t="s">
        <v>19</v>
      </c>
      <c r="E509" s="2" t="s">
        <v>40</v>
      </c>
      <c r="F509" s="2">
        <v>14</v>
      </c>
      <c r="G509" s="2">
        <v>634</v>
      </c>
      <c r="H509" s="2" t="str">
        <f>_xlfn.XLOOKUP(E509, Product_Master!A:A, Product_Master!B:B)</f>
        <v>Table</v>
      </c>
      <c r="I509" s="2" t="str">
        <f>_xlfn.XLOOKUP(E509, Product_Master!A:A, Product_Master!C:C)</f>
        <v>Furniture</v>
      </c>
      <c r="J509" s="2">
        <f>_xlfn.XLOOKUP(E509, Product_Master!A:A, Product_Master!D:D)</f>
        <v>7000</v>
      </c>
      <c r="K509" s="2">
        <f t="shared" si="28"/>
        <v>8876</v>
      </c>
      <c r="L509" s="2">
        <f t="shared" si="29"/>
        <v>98000</v>
      </c>
      <c r="M509" s="2">
        <f t="shared" si="30"/>
        <v>-89124</v>
      </c>
      <c r="N509" s="2">
        <f>_xlfn.XLOOKUP(D509, Sales_Rep_Master!A:A, Sales_Rep_Master!B:B)</f>
        <v>950000</v>
      </c>
      <c r="O509" s="4">
        <f t="shared" si="31"/>
        <v>9.3431578947368414E-3</v>
      </c>
    </row>
    <row r="510" spans="1:15" ht="15.75" hidden="1" x14ac:dyDescent="0.25">
      <c r="A510" s="3" t="s">
        <v>808</v>
      </c>
      <c r="B510" s="2" t="s">
        <v>175</v>
      </c>
      <c r="C510" s="2" t="s">
        <v>9</v>
      </c>
      <c r="D510" s="2" t="s">
        <v>152</v>
      </c>
      <c r="E510" s="2" t="s">
        <v>40</v>
      </c>
      <c r="F510" s="2">
        <v>15</v>
      </c>
      <c r="G510" s="2">
        <v>750</v>
      </c>
      <c r="H510" s="2" t="str">
        <f>_xlfn.XLOOKUP(E510, Product_Master!A:A, Product_Master!B:B)</f>
        <v>Table</v>
      </c>
      <c r="I510" s="2" t="str">
        <f>_xlfn.XLOOKUP(E510, Product_Master!A:A, Product_Master!C:C)</f>
        <v>Furniture</v>
      </c>
      <c r="J510" s="2">
        <f>_xlfn.XLOOKUP(E510, Product_Master!A:A, Product_Master!D:D)</f>
        <v>7000</v>
      </c>
      <c r="K510" s="2">
        <f t="shared" si="28"/>
        <v>11250</v>
      </c>
      <c r="L510" s="2">
        <f t="shared" si="29"/>
        <v>105000</v>
      </c>
      <c r="M510" s="2">
        <f t="shared" si="30"/>
        <v>-93750</v>
      </c>
      <c r="N510" s="2">
        <f>_xlfn.XLOOKUP(D510, Sales_Rep_Master!A:A, Sales_Rep_Master!B:B)</f>
        <v>870000</v>
      </c>
      <c r="O510" s="4">
        <f t="shared" si="31"/>
        <v>1.2931034482758621E-2</v>
      </c>
    </row>
    <row r="511" spans="1:15" ht="15.75" hidden="1" x14ac:dyDescent="0.25">
      <c r="A511" s="3" t="s">
        <v>809</v>
      </c>
      <c r="B511" s="2" t="s">
        <v>715</v>
      </c>
      <c r="C511" s="2" t="s">
        <v>26</v>
      </c>
      <c r="D511" s="2" t="s">
        <v>152</v>
      </c>
      <c r="E511" s="2" t="s">
        <v>61</v>
      </c>
      <c r="F511" s="2">
        <v>15</v>
      </c>
      <c r="G511" s="2">
        <v>3496</v>
      </c>
      <c r="H511" s="2" t="str">
        <f>_xlfn.XLOOKUP(E511, Product_Master!A:A, Product_Master!B:B)</f>
        <v>Shoes</v>
      </c>
      <c r="I511" s="2" t="str">
        <f>_xlfn.XLOOKUP(E511, Product_Master!A:A, Product_Master!C:C)</f>
        <v>Clothing</v>
      </c>
      <c r="J511" s="2">
        <f>_xlfn.XLOOKUP(E511, Product_Master!A:A, Product_Master!D:D)</f>
        <v>2000</v>
      </c>
      <c r="K511" s="2">
        <f t="shared" si="28"/>
        <v>52440</v>
      </c>
      <c r="L511" s="2">
        <f t="shared" si="29"/>
        <v>30000</v>
      </c>
      <c r="M511" s="2">
        <f t="shared" si="30"/>
        <v>22440</v>
      </c>
      <c r="N511" s="2">
        <f>_xlfn.XLOOKUP(D511, Sales_Rep_Master!A:A, Sales_Rep_Master!B:B)</f>
        <v>870000</v>
      </c>
      <c r="O511" s="4">
        <f t="shared" si="31"/>
        <v>6.027586206896552E-2</v>
      </c>
    </row>
    <row r="512" spans="1:15" ht="15.75" hidden="1" x14ac:dyDescent="0.25">
      <c r="A512" s="3" t="s">
        <v>810</v>
      </c>
      <c r="B512" s="2" t="s">
        <v>73</v>
      </c>
      <c r="C512" s="2" t="s">
        <v>26</v>
      </c>
      <c r="D512" s="2" t="s">
        <v>51</v>
      </c>
      <c r="E512" s="2" t="s">
        <v>23</v>
      </c>
      <c r="F512" s="2">
        <v>11</v>
      </c>
      <c r="G512" s="2">
        <v>957</v>
      </c>
      <c r="H512" s="2" t="str">
        <f>_xlfn.XLOOKUP(E512, Product_Master!A:A, Product_Master!B:B)</f>
        <v>Sofa</v>
      </c>
      <c r="I512" s="2" t="str">
        <f>_xlfn.XLOOKUP(E512, Product_Master!A:A, Product_Master!C:C)</f>
        <v>Furniture</v>
      </c>
      <c r="J512" s="2">
        <f>_xlfn.XLOOKUP(E512, Product_Master!A:A, Product_Master!D:D)</f>
        <v>15000</v>
      </c>
      <c r="K512" s="2">
        <f t="shared" si="28"/>
        <v>10527</v>
      </c>
      <c r="L512" s="2">
        <f t="shared" si="29"/>
        <v>165000</v>
      </c>
      <c r="M512" s="2">
        <f t="shared" si="30"/>
        <v>-154473</v>
      </c>
      <c r="N512" s="2">
        <f>_xlfn.XLOOKUP(D512, Sales_Rep_Master!A:A, Sales_Rep_Master!B:B)</f>
        <v>900000</v>
      </c>
      <c r="O512" s="4">
        <f t="shared" si="31"/>
        <v>1.1696666666666666E-2</v>
      </c>
    </row>
    <row r="513" spans="1:15" ht="15.75" x14ac:dyDescent="0.25">
      <c r="A513" s="3" t="s">
        <v>811</v>
      </c>
      <c r="B513" s="2" t="s">
        <v>812</v>
      </c>
      <c r="C513" s="2" t="s">
        <v>9</v>
      </c>
      <c r="D513" s="2" t="s">
        <v>19</v>
      </c>
      <c r="E513" s="2" t="s">
        <v>20</v>
      </c>
      <c r="F513" s="2">
        <v>3</v>
      </c>
      <c r="G513" s="2">
        <v>4069</v>
      </c>
      <c r="H513" s="2" t="str">
        <f>_xlfn.XLOOKUP(E513, Product_Master!A:A, Product_Master!B:B)</f>
        <v>Headphones</v>
      </c>
      <c r="I513" s="2" t="str">
        <f>_xlfn.XLOOKUP(E513, Product_Master!A:A, Product_Master!C:C)</f>
        <v>Electronics</v>
      </c>
      <c r="J513" s="2">
        <f>_xlfn.XLOOKUP(E513, Product_Master!A:A, Product_Master!D:D)</f>
        <v>2000</v>
      </c>
      <c r="K513" s="2">
        <f t="shared" si="28"/>
        <v>12207</v>
      </c>
      <c r="L513" s="2">
        <f t="shared" si="29"/>
        <v>6000</v>
      </c>
      <c r="M513" s="2">
        <f t="shared" si="30"/>
        <v>6207</v>
      </c>
      <c r="N513" s="2">
        <f>_xlfn.XLOOKUP(D513, Sales_Rep_Master!A:A, Sales_Rep_Master!B:B)</f>
        <v>950000</v>
      </c>
      <c r="O513" s="4">
        <f t="shared" si="31"/>
        <v>1.2849473684210527E-2</v>
      </c>
    </row>
    <row r="514" spans="1:15" ht="15.75" hidden="1" x14ac:dyDescent="0.25">
      <c r="A514" s="3" t="s">
        <v>813</v>
      </c>
      <c r="B514" s="2" t="s">
        <v>161</v>
      </c>
      <c r="C514" s="2" t="s">
        <v>26</v>
      </c>
      <c r="D514" s="2" t="s">
        <v>54</v>
      </c>
      <c r="E514" s="2" t="s">
        <v>34</v>
      </c>
      <c r="F514" s="2">
        <v>11</v>
      </c>
      <c r="G514" s="2">
        <v>942</v>
      </c>
      <c r="H514" s="2" t="str">
        <f>_xlfn.XLOOKUP(E514, Product_Master!A:A, Product_Master!B:B)</f>
        <v>Jacket</v>
      </c>
      <c r="I514" s="2" t="str">
        <f>_xlfn.XLOOKUP(E514, Product_Master!A:A, Product_Master!C:C)</f>
        <v>Clothing</v>
      </c>
      <c r="J514" s="2">
        <f>_xlfn.XLOOKUP(E514, Product_Master!A:A, Product_Master!D:D)</f>
        <v>1500</v>
      </c>
      <c r="K514" s="2">
        <f t="shared" ref="K514:K577" si="32">F514*G514</f>
        <v>10362</v>
      </c>
      <c r="L514" s="2">
        <f t="shared" ref="L514:L577" si="33">F514*J514</f>
        <v>16500</v>
      </c>
      <c r="M514" s="2">
        <f t="shared" ref="M514:M577" si="34">K514-L514</f>
        <v>-6138</v>
      </c>
      <c r="N514" s="2">
        <f>_xlfn.XLOOKUP(D514, Sales_Rep_Master!A:A, Sales_Rep_Master!B:B)</f>
        <v>890000</v>
      </c>
      <c r="O514" s="4">
        <f t="shared" ref="O514:O577" si="35">K514/N514</f>
        <v>1.1642696629213483E-2</v>
      </c>
    </row>
    <row r="515" spans="1:15" ht="15.75" hidden="1" x14ac:dyDescent="0.25">
      <c r="A515" s="3" t="s">
        <v>814</v>
      </c>
      <c r="B515" s="2" t="s">
        <v>53</v>
      </c>
      <c r="C515" s="2" t="s">
        <v>18</v>
      </c>
      <c r="D515" s="2" t="s">
        <v>10</v>
      </c>
      <c r="E515" s="2" t="s">
        <v>15</v>
      </c>
      <c r="F515" s="2">
        <v>11</v>
      </c>
      <c r="G515" s="2">
        <v>1093</v>
      </c>
      <c r="H515" s="2" t="str">
        <f>_xlfn.XLOOKUP(E515, Product_Master!A:A, Product_Master!B:B)</f>
        <v>Chair</v>
      </c>
      <c r="I515" s="2" t="str">
        <f>_xlfn.XLOOKUP(E515, Product_Master!A:A, Product_Master!C:C)</f>
        <v>Furniture</v>
      </c>
      <c r="J515" s="2">
        <f>_xlfn.XLOOKUP(E515, Product_Master!A:A, Product_Master!D:D)</f>
        <v>2500</v>
      </c>
      <c r="K515" s="2">
        <f t="shared" si="32"/>
        <v>12023</v>
      </c>
      <c r="L515" s="2">
        <f t="shared" si="33"/>
        <v>27500</v>
      </c>
      <c r="M515" s="2">
        <f t="shared" si="34"/>
        <v>-15477</v>
      </c>
      <c r="N515" s="2">
        <f>_xlfn.XLOOKUP(D515, Sales_Rep_Master!A:A, Sales_Rep_Master!B:B)</f>
        <v>920000</v>
      </c>
      <c r="O515" s="4">
        <f t="shared" si="35"/>
        <v>1.3068478260869565E-2</v>
      </c>
    </row>
    <row r="516" spans="1:15" ht="15.75" hidden="1" x14ac:dyDescent="0.25">
      <c r="A516" s="3" t="s">
        <v>815</v>
      </c>
      <c r="B516" s="2" t="s">
        <v>232</v>
      </c>
      <c r="C516" s="2" t="s">
        <v>33</v>
      </c>
      <c r="D516" s="2" t="s">
        <v>10</v>
      </c>
      <c r="E516" s="2" t="s">
        <v>61</v>
      </c>
      <c r="F516" s="2">
        <v>6</v>
      </c>
      <c r="G516" s="2">
        <v>7733</v>
      </c>
      <c r="H516" s="2" t="str">
        <f>_xlfn.XLOOKUP(E516, Product_Master!A:A, Product_Master!B:B)</f>
        <v>Shoes</v>
      </c>
      <c r="I516" s="2" t="str">
        <f>_xlfn.XLOOKUP(E516, Product_Master!A:A, Product_Master!C:C)</f>
        <v>Clothing</v>
      </c>
      <c r="J516" s="2">
        <f>_xlfn.XLOOKUP(E516, Product_Master!A:A, Product_Master!D:D)</f>
        <v>2000</v>
      </c>
      <c r="K516" s="2">
        <f t="shared" si="32"/>
        <v>46398</v>
      </c>
      <c r="L516" s="2">
        <f t="shared" si="33"/>
        <v>12000</v>
      </c>
      <c r="M516" s="2">
        <f t="shared" si="34"/>
        <v>34398</v>
      </c>
      <c r="N516" s="2">
        <f>_xlfn.XLOOKUP(D516, Sales_Rep_Master!A:A, Sales_Rep_Master!B:B)</f>
        <v>920000</v>
      </c>
      <c r="O516" s="4">
        <f t="shared" si="35"/>
        <v>5.0432608695652172E-2</v>
      </c>
    </row>
    <row r="517" spans="1:15" ht="15.75" hidden="1" x14ac:dyDescent="0.25">
      <c r="A517" s="3" t="s">
        <v>816</v>
      </c>
      <c r="B517" s="2" t="s">
        <v>817</v>
      </c>
      <c r="C517" s="2" t="s">
        <v>18</v>
      </c>
      <c r="D517" s="2" t="s">
        <v>51</v>
      </c>
      <c r="E517" s="2" t="s">
        <v>61</v>
      </c>
      <c r="F517" s="2">
        <v>3</v>
      </c>
      <c r="G517" s="2">
        <v>7695</v>
      </c>
      <c r="H517" s="2" t="str">
        <f>_xlfn.XLOOKUP(E517, Product_Master!A:A, Product_Master!B:B)</f>
        <v>Shoes</v>
      </c>
      <c r="I517" s="2" t="str">
        <f>_xlfn.XLOOKUP(E517, Product_Master!A:A, Product_Master!C:C)</f>
        <v>Clothing</v>
      </c>
      <c r="J517" s="2">
        <f>_xlfn.XLOOKUP(E517, Product_Master!A:A, Product_Master!D:D)</f>
        <v>2000</v>
      </c>
      <c r="K517" s="2">
        <f t="shared" si="32"/>
        <v>23085</v>
      </c>
      <c r="L517" s="2">
        <f t="shared" si="33"/>
        <v>6000</v>
      </c>
      <c r="M517" s="2">
        <f t="shared" si="34"/>
        <v>17085</v>
      </c>
      <c r="N517" s="2">
        <f>_xlfn.XLOOKUP(D517, Sales_Rep_Master!A:A, Sales_Rep_Master!B:B)</f>
        <v>900000</v>
      </c>
      <c r="O517" s="4">
        <f t="shared" si="35"/>
        <v>2.5649999999999999E-2</v>
      </c>
    </row>
    <row r="518" spans="1:15" ht="15.75" x14ac:dyDescent="0.25">
      <c r="A518" s="3" t="s">
        <v>818</v>
      </c>
      <c r="B518" s="2" t="s">
        <v>817</v>
      </c>
      <c r="C518" s="2" t="s">
        <v>33</v>
      </c>
      <c r="D518" s="2" t="s">
        <v>10</v>
      </c>
      <c r="E518" s="2" t="s">
        <v>28</v>
      </c>
      <c r="F518" s="2">
        <v>9</v>
      </c>
      <c r="G518" s="2">
        <v>6114</v>
      </c>
      <c r="H518" s="2" t="str">
        <f>_xlfn.XLOOKUP(E518, Product_Master!A:A, Product_Master!B:B)</f>
        <v>Laptop</v>
      </c>
      <c r="I518" s="2" t="str">
        <f>_xlfn.XLOOKUP(E518, Product_Master!A:A, Product_Master!C:C)</f>
        <v>Electronics</v>
      </c>
      <c r="J518" s="2">
        <f>_xlfn.XLOOKUP(E518, Product_Master!A:A, Product_Master!D:D)</f>
        <v>35000</v>
      </c>
      <c r="K518" s="2">
        <f t="shared" si="32"/>
        <v>55026</v>
      </c>
      <c r="L518" s="2">
        <f t="shared" si="33"/>
        <v>315000</v>
      </c>
      <c r="M518" s="2">
        <f t="shared" si="34"/>
        <v>-259974</v>
      </c>
      <c r="N518" s="2">
        <f>_xlfn.XLOOKUP(D518, Sales_Rep_Master!A:A, Sales_Rep_Master!B:B)</f>
        <v>920000</v>
      </c>
      <c r="O518" s="4">
        <f t="shared" si="35"/>
        <v>5.9810869565217389E-2</v>
      </c>
    </row>
    <row r="519" spans="1:15" ht="15.75" hidden="1" x14ac:dyDescent="0.25">
      <c r="A519" s="3" t="s">
        <v>819</v>
      </c>
      <c r="B519" s="2" t="s">
        <v>230</v>
      </c>
      <c r="C519" s="2" t="s">
        <v>18</v>
      </c>
      <c r="D519" s="2" t="s">
        <v>51</v>
      </c>
      <c r="E519" s="2" t="s">
        <v>23</v>
      </c>
      <c r="F519" s="2">
        <v>3</v>
      </c>
      <c r="G519" s="2">
        <v>7742</v>
      </c>
      <c r="H519" s="2" t="str">
        <f>_xlfn.XLOOKUP(E519, Product_Master!A:A, Product_Master!B:B)</f>
        <v>Sofa</v>
      </c>
      <c r="I519" s="2" t="str">
        <f>_xlfn.XLOOKUP(E519, Product_Master!A:A, Product_Master!C:C)</f>
        <v>Furniture</v>
      </c>
      <c r="J519" s="2">
        <f>_xlfn.XLOOKUP(E519, Product_Master!A:A, Product_Master!D:D)</f>
        <v>15000</v>
      </c>
      <c r="K519" s="2">
        <f t="shared" si="32"/>
        <v>23226</v>
      </c>
      <c r="L519" s="2">
        <f t="shared" si="33"/>
        <v>45000</v>
      </c>
      <c r="M519" s="2">
        <f t="shared" si="34"/>
        <v>-21774</v>
      </c>
      <c r="N519" s="2">
        <f>_xlfn.XLOOKUP(D519, Sales_Rep_Master!A:A, Sales_Rep_Master!B:B)</f>
        <v>900000</v>
      </c>
      <c r="O519" s="4">
        <f t="shared" si="35"/>
        <v>2.5806666666666665E-2</v>
      </c>
    </row>
    <row r="520" spans="1:15" ht="15.75" x14ac:dyDescent="0.25">
      <c r="A520" s="3" t="s">
        <v>820</v>
      </c>
      <c r="B520" s="2" t="s">
        <v>821</v>
      </c>
      <c r="C520" s="2" t="s">
        <v>26</v>
      </c>
      <c r="D520" s="2" t="s">
        <v>37</v>
      </c>
      <c r="E520" s="2" t="s">
        <v>20</v>
      </c>
      <c r="F520" s="2">
        <v>2</v>
      </c>
      <c r="G520" s="2">
        <v>4352</v>
      </c>
      <c r="H520" s="2" t="str">
        <f>_xlfn.XLOOKUP(E520, Product_Master!A:A, Product_Master!B:B)</f>
        <v>Headphones</v>
      </c>
      <c r="I520" s="2" t="str">
        <f>_xlfn.XLOOKUP(E520, Product_Master!A:A, Product_Master!C:C)</f>
        <v>Electronics</v>
      </c>
      <c r="J520" s="2">
        <f>_xlfn.XLOOKUP(E520, Product_Master!A:A, Product_Master!D:D)</f>
        <v>2000</v>
      </c>
      <c r="K520" s="2">
        <f t="shared" si="32"/>
        <v>8704</v>
      </c>
      <c r="L520" s="2">
        <f t="shared" si="33"/>
        <v>4000</v>
      </c>
      <c r="M520" s="2">
        <f t="shared" si="34"/>
        <v>4704</v>
      </c>
      <c r="N520" s="2">
        <f>_xlfn.XLOOKUP(D520, Sales_Rep_Master!A:A, Sales_Rep_Master!B:B)</f>
        <v>850000</v>
      </c>
      <c r="O520" s="4">
        <f t="shared" si="35"/>
        <v>1.0240000000000001E-2</v>
      </c>
    </row>
    <row r="521" spans="1:15" ht="15.75" hidden="1" x14ac:dyDescent="0.25">
      <c r="A521" s="3" t="s">
        <v>822</v>
      </c>
      <c r="B521" s="2" t="s">
        <v>615</v>
      </c>
      <c r="C521" s="2" t="s">
        <v>18</v>
      </c>
      <c r="D521" s="2" t="s">
        <v>14</v>
      </c>
      <c r="E521" s="2" t="s">
        <v>15</v>
      </c>
      <c r="F521" s="2">
        <v>8</v>
      </c>
      <c r="G521" s="2">
        <v>822</v>
      </c>
      <c r="H521" s="2" t="str">
        <f>_xlfn.XLOOKUP(E521, Product_Master!A:A, Product_Master!B:B)</f>
        <v>Chair</v>
      </c>
      <c r="I521" s="2" t="str">
        <f>_xlfn.XLOOKUP(E521, Product_Master!A:A, Product_Master!C:C)</f>
        <v>Furniture</v>
      </c>
      <c r="J521" s="2">
        <f>_xlfn.XLOOKUP(E521, Product_Master!A:A, Product_Master!D:D)</f>
        <v>2500</v>
      </c>
      <c r="K521" s="2">
        <f t="shared" si="32"/>
        <v>6576</v>
      </c>
      <c r="L521" s="2">
        <f t="shared" si="33"/>
        <v>20000</v>
      </c>
      <c r="M521" s="2">
        <f t="shared" si="34"/>
        <v>-13424</v>
      </c>
      <c r="N521" s="2">
        <f>_xlfn.XLOOKUP(D521, Sales_Rep_Master!A:A, Sales_Rep_Master!B:B)</f>
        <v>880000</v>
      </c>
      <c r="O521" s="4">
        <f t="shared" si="35"/>
        <v>7.4727272727272724E-3</v>
      </c>
    </row>
    <row r="522" spans="1:15" ht="15.75" hidden="1" x14ac:dyDescent="0.25">
      <c r="A522" s="3" t="s">
        <v>823</v>
      </c>
      <c r="B522" s="2" t="s">
        <v>320</v>
      </c>
      <c r="C522" s="2" t="s">
        <v>33</v>
      </c>
      <c r="D522" s="2" t="s">
        <v>152</v>
      </c>
      <c r="E522" s="2" t="s">
        <v>61</v>
      </c>
      <c r="F522" s="2">
        <v>7</v>
      </c>
      <c r="G522" s="2">
        <v>5786</v>
      </c>
      <c r="H522" s="2" t="str">
        <f>_xlfn.XLOOKUP(E522, Product_Master!A:A, Product_Master!B:B)</f>
        <v>Shoes</v>
      </c>
      <c r="I522" s="2" t="str">
        <f>_xlfn.XLOOKUP(E522, Product_Master!A:A, Product_Master!C:C)</f>
        <v>Clothing</v>
      </c>
      <c r="J522" s="2">
        <f>_xlfn.XLOOKUP(E522, Product_Master!A:A, Product_Master!D:D)</f>
        <v>2000</v>
      </c>
      <c r="K522" s="2">
        <f t="shared" si="32"/>
        <v>40502</v>
      </c>
      <c r="L522" s="2">
        <f t="shared" si="33"/>
        <v>14000</v>
      </c>
      <c r="M522" s="2">
        <f t="shared" si="34"/>
        <v>26502</v>
      </c>
      <c r="N522" s="2">
        <f>_xlfn.XLOOKUP(D522, Sales_Rep_Master!A:A, Sales_Rep_Master!B:B)</f>
        <v>870000</v>
      </c>
      <c r="O522" s="4">
        <f t="shared" si="35"/>
        <v>4.655402298850575E-2</v>
      </c>
    </row>
    <row r="523" spans="1:15" ht="15.75" x14ac:dyDescent="0.25">
      <c r="A523" s="3" t="s">
        <v>824</v>
      </c>
      <c r="B523" s="2" t="s">
        <v>422</v>
      </c>
      <c r="C523" s="2" t="s">
        <v>9</v>
      </c>
      <c r="D523" s="2" t="s">
        <v>51</v>
      </c>
      <c r="E523" s="2" t="s">
        <v>11</v>
      </c>
      <c r="F523" s="2">
        <v>1</v>
      </c>
      <c r="G523" s="2">
        <v>5975</v>
      </c>
      <c r="H523" s="2" t="str">
        <f>_xlfn.XLOOKUP(E523, Product_Master!A:A, Product_Master!B:B)</f>
        <v>Mobile</v>
      </c>
      <c r="I523" s="2" t="str">
        <f>_xlfn.XLOOKUP(E523, Product_Master!A:A, Product_Master!C:C)</f>
        <v>Electronics</v>
      </c>
      <c r="J523" s="2">
        <f>_xlfn.XLOOKUP(E523, Product_Master!A:A, Product_Master!D:D)</f>
        <v>18000</v>
      </c>
      <c r="K523" s="2">
        <f t="shared" si="32"/>
        <v>5975</v>
      </c>
      <c r="L523" s="2">
        <f t="shared" si="33"/>
        <v>18000</v>
      </c>
      <c r="M523" s="2">
        <f t="shared" si="34"/>
        <v>-12025</v>
      </c>
      <c r="N523" s="2">
        <f>_xlfn.XLOOKUP(D523, Sales_Rep_Master!A:A, Sales_Rep_Master!B:B)</f>
        <v>900000</v>
      </c>
      <c r="O523" s="4">
        <f t="shared" si="35"/>
        <v>6.6388888888888886E-3</v>
      </c>
    </row>
    <row r="524" spans="1:15" ht="15.75" hidden="1" x14ac:dyDescent="0.25">
      <c r="A524" s="3" t="s">
        <v>825</v>
      </c>
      <c r="B524" s="2" t="s">
        <v>161</v>
      </c>
      <c r="C524" s="2" t="s">
        <v>18</v>
      </c>
      <c r="D524" s="2" t="s">
        <v>19</v>
      </c>
      <c r="E524" s="2" t="s">
        <v>23</v>
      </c>
      <c r="F524" s="2">
        <v>15</v>
      </c>
      <c r="G524" s="2">
        <v>6965</v>
      </c>
      <c r="H524" s="2" t="str">
        <f>_xlfn.XLOOKUP(E524, Product_Master!A:A, Product_Master!B:B)</f>
        <v>Sofa</v>
      </c>
      <c r="I524" s="2" t="str">
        <f>_xlfn.XLOOKUP(E524, Product_Master!A:A, Product_Master!C:C)</f>
        <v>Furniture</v>
      </c>
      <c r="J524" s="2">
        <f>_xlfn.XLOOKUP(E524, Product_Master!A:A, Product_Master!D:D)</f>
        <v>15000</v>
      </c>
      <c r="K524" s="2">
        <f t="shared" si="32"/>
        <v>104475</v>
      </c>
      <c r="L524" s="2">
        <f t="shared" si="33"/>
        <v>225000</v>
      </c>
      <c r="M524" s="2">
        <f t="shared" si="34"/>
        <v>-120525</v>
      </c>
      <c r="N524" s="2">
        <f>_xlfn.XLOOKUP(D524, Sales_Rep_Master!A:A, Sales_Rep_Master!B:B)</f>
        <v>950000</v>
      </c>
      <c r="O524" s="4">
        <f t="shared" si="35"/>
        <v>0.10997368421052632</v>
      </c>
    </row>
    <row r="525" spans="1:15" ht="15.75" x14ac:dyDescent="0.25">
      <c r="A525" s="3" t="s">
        <v>826</v>
      </c>
      <c r="B525" s="2" t="s">
        <v>516</v>
      </c>
      <c r="C525" s="2" t="s">
        <v>26</v>
      </c>
      <c r="D525" s="2" t="s">
        <v>19</v>
      </c>
      <c r="E525" s="2" t="s">
        <v>28</v>
      </c>
      <c r="F525" s="2">
        <v>9</v>
      </c>
      <c r="G525" s="2">
        <v>7104</v>
      </c>
      <c r="H525" s="2" t="str">
        <f>_xlfn.XLOOKUP(E525, Product_Master!A:A, Product_Master!B:B)</f>
        <v>Laptop</v>
      </c>
      <c r="I525" s="2" t="str">
        <f>_xlfn.XLOOKUP(E525, Product_Master!A:A, Product_Master!C:C)</f>
        <v>Electronics</v>
      </c>
      <c r="J525" s="2">
        <f>_xlfn.XLOOKUP(E525, Product_Master!A:A, Product_Master!D:D)</f>
        <v>35000</v>
      </c>
      <c r="K525" s="2">
        <f t="shared" si="32"/>
        <v>63936</v>
      </c>
      <c r="L525" s="2">
        <f t="shared" si="33"/>
        <v>315000</v>
      </c>
      <c r="M525" s="2">
        <f t="shared" si="34"/>
        <v>-251064</v>
      </c>
      <c r="N525" s="2">
        <f>_xlfn.XLOOKUP(D525, Sales_Rep_Master!A:A, Sales_Rep_Master!B:B)</f>
        <v>950000</v>
      </c>
      <c r="O525" s="4">
        <f t="shared" si="35"/>
        <v>6.7301052631578942E-2</v>
      </c>
    </row>
    <row r="526" spans="1:15" ht="15.75" x14ac:dyDescent="0.25">
      <c r="A526" s="3" t="s">
        <v>827</v>
      </c>
      <c r="B526" s="2" t="s">
        <v>364</v>
      </c>
      <c r="C526" s="2" t="s">
        <v>33</v>
      </c>
      <c r="D526" s="2" t="s">
        <v>37</v>
      </c>
      <c r="E526" s="2" t="s">
        <v>11</v>
      </c>
      <c r="F526" s="2">
        <v>1</v>
      </c>
      <c r="G526" s="2">
        <v>7851</v>
      </c>
      <c r="H526" s="2" t="str">
        <f>_xlfn.XLOOKUP(E526, Product_Master!A:A, Product_Master!B:B)</f>
        <v>Mobile</v>
      </c>
      <c r="I526" s="2" t="str">
        <f>_xlfn.XLOOKUP(E526, Product_Master!A:A, Product_Master!C:C)</f>
        <v>Electronics</v>
      </c>
      <c r="J526" s="2">
        <f>_xlfn.XLOOKUP(E526, Product_Master!A:A, Product_Master!D:D)</f>
        <v>18000</v>
      </c>
      <c r="K526" s="2">
        <f t="shared" si="32"/>
        <v>7851</v>
      </c>
      <c r="L526" s="2">
        <f t="shared" si="33"/>
        <v>18000</v>
      </c>
      <c r="M526" s="2">
        <f t="shared" si="34"/>
        <v>-10149</v>
      </c>
      <c r="N526" s="2">
        <f>_xlfn.XLOOKUP(D526, Sales_Rep_Master!A:A, Sales_Rep_Master!B:B)</f>
        <v>850000</v>
      </c>
      <c r="O526" s="4">
        <f t="shared" si="35"/>
        <v>9.2364705882352939E-3</v>
      </c>
    </row>
    <row r="527" spans="1:15" ht="15.75" hidden="1" x14ac:dyDescent="0.25">
      <c r="A527" s="3" t="s">
        <v>828</v>
      </c>
      <c r="B527" s="2" t="s">
        <v>829</v>
      </c>
      <c r="C527" s="2" t="s">
        <v>26</v>
      </c>
      <c r="D527" s="2" t="s">
        <v>19</v>
      </c>
      <c r="E527" s="2" t="s">
        <v>23</v>
      </c>
      <c r="F527" s="2">
        <v>15</v>
      </c>
      <c r="G527" s="2">
        <v>3025</v>
      </c>
      <c r="H527" s="2" t="str">
        <f>_xlfn.XLOOKUP(E527, Product_Master!A:A, Product_Master!B:B)</f>
        <v>Sofa</v>
      </c>
      <c r="I527" s="2" t="str">
        <f>_xlfn.XLOOKUP(E527, Product_Master!A:A, Product_Master!C:C)</f>
        <v>Furniture</v>
      </c>
      <c r="J527" s="2">
        <f>_xlfn.XLOOKUP(E527, Product_Master!A:A, Product_Master!D:D)</f>
        <v>15000</v>
      </c>
      <c r="K527" s="2">
        <f t="shared" si="32"/>
        <v>45375</v>
      </c>
      <c r="L527" s="2">
        <f t="shared" si="33"/>
        <v>225000</v>
      </c>
      <c r="M527" s="2">
        <f t="shared" si="34"/>
        <v>-179625</v>
      </c>
      <c r="N527" s="2">
        <f>_xlfn.XLOOKUP(D527, Sales_Rep_Master!A:A, Sales_Rep_Master!B:B)</f>
        <v>950000</v>
      </c>
      <c r="O527" s="4">
        <f t="shared" si="35"/>
        <v>4.7763157894736841E-2</v>
      </c>
    </row>
    <row r="528" spans="1:15" ht="15.75" hidden="1" x14ac:dyDescent="0.25">
      <c r="A528" s="3" t="s">
        <v>830</v>
      </c>
      <c r="B528" s="2" t="s">
        <v>157</v>
      </c>
      <c r="C528" s="2" t="s">
        <v>9</v>
      </c>
      <c r="D528" s="2" t="s">
        <v>54</v>
      </c>
      <c r="E528" s="2" t="s">
        <v>61</v>
      </c>
      <c r="F528" s="2">
        <v>9</v>
      </c>
      <c r="G528" s="2">
        <v>4111</v>
      </c>
      <c r="H528" s="2" t="str">
        <f>_xlfn.XLOOKUP(E528, Product_Master!A:A, Product_Master!B:B)</f>
        <v>Shoes</v>
      </c>
      <c r="I528" s="2" t="str">
        <f>_xlfn.XLOOKUP(E528, Product_Master!A:A, Product_Master!C:C)</f>
        <v>Clothing</v>
      </c>
      <c r="J528" s="2">
        <f>_xlfn.XLOOKUP(E528, Product_Master!A:A, Product_Master!D:D)</f>
        <v>2000</v>
      </c>
      <c r="K528" s="2">
        <f t="shared" si="32"/>
        <v>36999</v>
      </c>
      <c r="L528" s="2">
        <f t="shared" si="33"/>
        <v>18000</v>
      </c>
      <c r="M528" s="2">
        <f t="shared" si="34"/>
        <v>18999</v>
      </c>
      <c r="N528" s="2">
        <f>_xlfn.XLOOKUP(D528, Sales_Rep_Master!A:A, Sales_Rep_Master!B:B)</f>
        <v>890000</v>
      </c>
      <c r="O528" s="4">
        <f t="shared" si="35"/>
        <v>4.1571910112359549E-2</v>
      </c>
    </row>
    <row r="529" spans="1:15" ht="15.75" x14ac:dyDescent="0.25">
      <c r="A529" s="3" t="s">
        <v>831</v>
      </c>
      <c r="B529" s="2" t="s">
        <v>832</v>
      </c>
      <c r="C529" s="2" t="s">
        <v>33</v>
      </c>
      <c r="D529" s="2" t="s">
        <v>10</v>
      </c>
      <c r="E529" s="2" t="s">
        <v>11</v>
      </c>
      <c r="F529" s="2">
        <v>2</v>
      </c>
      <c r="G529" s="2">
        <v>5539</v>
      </c>
      <c r="H529" s="2" t="str">
        <f>_xlfn.XLOOKUP(E529, Product_Master!A:A, Product_Master!B:B)</f>
        <v>Mobile</v>
      </c>
      <c r="I529" s="2" t="str">
        <f>_xlfn.XLOOKUP(E529, Product_Master!A:A, Product_Master!C:C)</f>
        <v>Electronics</v>
      </c>
      <c r="J529" s="2">
        <f>_xlfn.XLOOKUP(E529, Product_Master!A:A, Product_Master!D:D)</f>
        <v>18000</v>
      </c>
      <c r="K529" s="2">
        <f t="shared" si="32"/>
        <v>11078</v>
      </c>
      <c r="L529" s="2">
        <f t="shared" si="33"/>
        <v>36000</v>
      </c>
      <c r="M529" s="2">
        <f t="shared" si="34"/>
        <v>-24922</v>
      </c>
      <c r="N529" s="2">
        <f>_xlfn.XLOOKUP(D529, Sales_Rep_Master!A:A, Sales_Rep_Master!B:B)</f>
        <v>920000</v>
      </c>
      <c r="O529" s="4">
        <f t="shared" si="35"/>
        <v>1.2041304347826087E-2</v>
      </c>
    </row>
    <row r="530" spans="1:15" ht="15.75" x14ac:dyDescent="0.25">
      <c r="A530" s="3" t="s">
        <v>833</v>
      </c>
      <c r="B530" s="2" t="s">
        <v>534</v>
      </c>
      <c r="C530" s="2" t="s">
        <v>33</v>
      </c>
      <c r="D530" s="2" t="s">
        <v>19</v>
      </c>
      <c r="E530" s="2" t="s">
        <v>28</v>
      </c>
      <c r="F530" s="2">
        <v>8</v>
      </c>
      <c r="G530" s="2">
        <v>5038</v>
      </c>
      <c r="H530" s="2" t="str">
        <f>_xlfn.XLOOKUP(E530, Product_Master!A:A, Product_Master!B:B)</f>
        <v>Laptop</v>
      </c>
      <c r="I530" s="2" t="str">
        <f>_xlfn.XLOOKUP(E530, Product_Master!A:A, Product_Master!C:C)</f>
        <v>Electronics</v>
      </c>
      <c r="J530" s="2">
        <f>_xlfn.XLOOKUP(E530, Product_Master!A:A, Product_Master!D:D)</f>
        <v>35000</v>
      </c>
      <c r="K530" s="2">
        <f t="shared" si="32"/>
        <v>40304</v>
      </c>
      <c r="L530" s="2">
        <f t="shared" si="33"/>
        <v>280000</v>
      </c>
      <c r="M530" s="2">
        <f t="shared" si="34"/>
        <v>-239696</v>
      </c>
      <c r="N530" s="2">
        <f>_xlfn.XLOOKUP(D530, Sales_Rep_Master!A:A, Sales_Rep_Master!B:B)</f>
        <v>950000</v>
      </c>
      <c r="O530" s="4">
        <f t="shared" si="35"/>
        <v>4.2425263157894737E-2</v>
      </c>
    </row>
    <row r="531" spans="1:15" ht="15.75" x14ac:dyDescent="0.25">
      <c r="A531" s="3" t="s">
        <v>834</v>
      </c>
      <c r="B531" s="2" t="s">
        <v>835</v>
      </c>
      <c r="C531" s="2" t="s">
        <v>33</v>
      </c>
      <c r="D531" s="2" t="s">
        <v>14</v>
      </c>
      <c r="E531" s="2" t="s">
        <v>20</v>
      </c>
      <c r="F531" s="2">
        <v>1</v>
      </c>
      <c r="G531" s="2">
        <v>1646</v>
      </c>
      <c r="H531" s="2" t="str">
        <f>_xlfn.XLOOKUP(E531, Product_Master!A:A, Product_Master!B:B)</f>
        <v>Headphones</v>
      </c>
      <c r="I531" s="2" t="str">
        <f>_xlfn.XLOOKUP(E531, Product_Master!A:A, Product_Master!C:C)</f>
        <v>Electronics</v>
      </c>
      <c r="J531" s="2">
        <f>_xlfn.XLOOKUP(E531, Product_Master!A:A, Product_Master!D:D)</f>
        <v>2000</v>
      </c>
      <c r="K531" s="2">
        <f t="shared" si="32"/>
        <v>1646</v>
      </c>
      <c r="L531" s="2">
        <f t="shared" si="33"/>
        <v>2000</v>
      </c>
      <c r="M531" s="2">
        <f t="shared" si="34"/>
        <v>-354</v>
      </c>
      <c r="N531" s="2">
        <f>_xlfn.XLOOKUP(D531, Sales_Rep_Master!A:A, Sales_Rep_Master!B:B)</f>
        <v>880000</v>
      </c>
      <c r="O531" s="4">
        <f t="shared" si="35"/>
        <v>1.8704545454545454E-3</v>
      </c>
    </row>
    <row r="532" spans="1:15" ht="15.75" x14ac:dyDescent="0.25">
      <c r="A532" s="3" t="s">
        <v>836</v>
      </c>
      <c r="B532" s="2" t="s">
        <v>649</v>
      </c>
      <c r="C532" s="2" t="s">
        <v>26</v>
      </c>
      <c r="D532" s="2" t="s">
        <v>14</v>
      </c>
      <c r="E532" s="2" t="s">
        <v>11</v>
      </c>
      <c r="F532" s="2">
        <v>12</v>
      </c>
      <c r="G532" s="2">
        <v>6487</v>
      </c>
      <c r="H532" s="2" t="str">
        <f>_xlfn.XLOOKUP(E532, Product_Master!A:A, Product_Master!B:B)</f>
        <v>Mobile</v>
      </c>
      <c r="I532" s="2" t="str">
        <f>_xlfn.XLOOKUP(E532, Product_Master!A:A, Product_Master!C:C)</f>
        <v>Electronics</v>
      </c>
      <c r="J532" s="2">
        <f>_xlfn.XLOOKUP(E532, Product_Master!A:A, Product_Master!D:D)</f>
        <v>18000</v>
      </c>
      <c r="K532" s="2">
        <f t="shared" si="32"/>
        <v>77844</v>
      </c>
      <c r="L532" s="2">
        <f t="shared" si="33"/>
        <v>216000</v>
      </c>
      <c r="M532" s="2">
        <f t="shared" si="34"/>
        <v>-138156</v>
      </c>
      <c r="N532" s="2">
        <f>_xlfn.XLOOKUP(D532, Sales_Rep_Master!A:A, Sales_Rep_Master!B:B)</f>
        <v>880000</v>
      </c>
      <c r="O532" s="4">
        <f t="shared" si="35"/>
        <v>8.8459090909090904E-2</v>
      </c>
    </row>
    <row r="533" spans="1:15" ht="15.75" hidden="1" x14ac:dyDescent="0.25">
      <c r="A533" s="3" t="s">
        <v>837</v>
      </c>
      <c r="B533" s="2" t="s">
        <v>143</v>
      </c>
      <c r="C533" s="2" t="s">
        <v>18</v>
      </c>
      <c r="D533" s="2" t="s">
        <v>10</v>
      </c>
      <c r="E533" s="2" t="s">
        <v>40</v>
      </c>
      <c r="F533" s="2">
        <v>5</v>
      </c>
      <c r="G533" s="2">
        <v>6110</v>
      </c>
      <c r="H533" s="2" t="str">
        <f>_xlfn.XLOOKUP(E533, Product_Master!A:A, Product_Master!B:B)</f>
        <v>Table</v>
      </c>
      <c r="I533" s="2" t="str">
        <f>_xlfn.XLOOKUP(E533, Product_Master!A:A, Product_Master!C:C)</f>
        <v>Furniture</v>
      </c>
      <c r="J533" s="2">
        <f>_xlfn.XLOOKUP(E533, Product_Master!A:A, Product_Master!D:D)</f>
        <v>7000</v>
      </c>
      <c r="K533" s="2">
        <f t="shared" si="32"/>
        <v>30550</v>
      </c>
      <c r="L533" s="2">
        <f t="shared" si="33"/>
        <v>35000</v>
      </c>
      <c r="M533" s="2">
        <f t="shared" si="34"/>
        <v>-4450</v>
      </c>
      <c r="N533" s="2">
        <f>_xlfn.XLOOKUP(D533, Sales_Rep_Master!A:A, Sales_Rep_Master!B:B)</f>
        <v>920000</v>
      </c>
      <c r="O533" s="4">
        <f t="shared" si="35"/>
        <v>3.3206521739130433E-2</v>
      </c>
    </row>
    <row r="534" spans="1:15" ht="15.75" hidden="1" x14ac:dyDescent="0.25">
      <c r="A534" s="3" t="s">
        <v>838</v>
      </c>
      <c r="B534" s="2" t="s">
        <v>81</v>
      </c>
      <c r="C534" s="2" t="s">
        <v>18</v>
      </c>
      <c r="D534" s="2" t="s">
        <v>19</v>
      </c>
      <c r="E534" s="2" t="s">
        <v>15</v>
      </c>
      <c r="F534" s="2">
        <v>5</v>
      </c>
      <c r="G534" s="2">
        <v>979</v>
      </c>
      <c r="H534" s="2" t="str">
        <f>_xlfn.XLOOKUP(E534, Product_Master!A:A, Product_Master!B:B)</f>
        <v>Chair</v>
      </c>
      <c r="I534" s="2" t="str">
        <f>_xlfn.XLOOKUP(E534, Product_Master!A:A, Product_Master!C:C)</f>
        <v>Furniture</v>
      </c>
      <c r="J534" s="2">
        <f>_xlfn.XLOOKUP(E534, Product_Master!A:A, Product_Master!D:D)</f>
        <v>2500</v>
      </c>
      <c r="K534" s="2">
        <f t="shared" si="32"/>
        <v>4895</v>
      </c>
      <c r="L534" s="2">
        <f t="shared" si="33"/>
        <v>12500</v>
      </c>
      <c r="M534" s="2">
        <f t="shared" si="34"/>
        <v>-7605</v>
      </c>
      <c r="N534" s="2">
        <f>_xlfn.XLOOKUP(D534, Sales_Rep_Master!A:A, Sales_Rep_Master!B:B)</f>
        <v>950000</v>
      </c>
      <c r="O534" s="4">
        <f t="shared" si="35"/>
        <v>5.1526315789473687E-3</v>
      </c>
    </row>
    <row r="535" spans="1:15" ht="15.75" hidden="1" x14ac:dyDescent="0.25">
      <c r="A535" s="3" t="s">
        <v>839</v>
      </c>
      <c r="B535" s="2" t="s">
        <v>139</v>
      </c>
      <c r="C535" s="2" t="s">
        <v>26</v>
      </c>
      <c r="D535" s="2" t="s">
        <v>152</v>
      </c>
      <c r="E535" s="2" t="s">
        <v>23</v>
      </c>
      <c r="F535" s="2">
        <v>1</v>
      </c>
      <c r="G535" s="2">
        <v>4173</v>
      </c>
      <c r="H535" s="2" t="str">
        <f>_xlfn.XLOOKUP(E535, Product_Master!A:A, Product_Master!B:B)</f>
        <v>Sofa</v>
      </c>
      <c r="I535" s="2" t="str">
        <f>_xlfn.XLOOKUP(E535, Product_Master!A:A, Product_Master!C:C)</f>
        <v>Furniture</v>
      </c>
      <c r="J535" s="2">
        <f>_xlfn.XLOOKUP(E535, Product_Master!A:A, Product_Master!D:D)</f>
        <v>15000</v>
      </c>
      <c r="K535" s="2">
        <f t="shared" si="32"/>
        <v>4173</v>
      </c>
      <c r="L535" s="2">
        <f t="shared" si="33"/>
        <v>15000</v>
      </c>
      <c r="M535" s="2">
        <f t="shared" si="34"/>
        <v>-10827</v>
      </c>
      <c r="N535" s="2">
        <f>_xlfn.XLOOKUP(D535, Sales_Rep_Master!A:A, Sales_Rep_Master!B:B)</f>
        <v>870000</v>
      </c>
      <c r="O535" s="4">
        <f t="shared" si="35"/>
        <v>4.7965517241379306E-3</v>
      </c>
    </row>
    <row r="536" spans="1:15" ht="15.75" x14ac:dyDescent="0.25">
      <c r="A536" s="3" t="s">
        <v>840</v>
      </c>
      <c r="B536" s="2" t="s">
        <v>291</v>
      </c>
      <c r="C536" s="2" t="s">
        <v>33</v>
      </c>
      <c r="D536" s="2" t="s">
        <v>19</v>
      </c>
      <c r="E536" s="2" t="s">
        <v>20</v>
      </c>
      <c r="F536" s="2">
        <v>15</v>
      </c>
      <c r="G536" s="2">
        <v>1851</v>
      </c>
      <c r="H536" s="2" t="str">
        <f>_xlfn.XLOOKUP(E536, Product_Master!A:A, Product_Master!B:B)</f>
        <v>Headphones</v>
      </c>
      <c r="I536" s="2" t="str">
        <f>_xlfn.XLOOKUP(E536, Product_Master!A:A, Product_Master!C:C)</f>
        <v>Electronics</v>
      </c>
      <c r="J536" s="2">
        <f>_xlfn.XLOOKUP(E536, Product_Master!A:A, Product_Master!D:D)</f>
        <v>2000</v>
      </c>
      <c r="K536" s="2">
        <f t="shared" si="32"/>
        <v>27765</v>
      </c>
      <c r="L536" s="2">
        <f t="shared" si="33"/>
        <v>30000</v>
      </c>
      <c r="M536" s="2">
        <f t="shared" si="34"/>
        <v>-2235</v>
      </c>
      <c r="N536" s="2">
        <f>_xlfn.XLOOKUP(D536, Sales_Rep_Master!A:A, Sales_Rep_Master!B:B)</f>
        <v>950000</v>
      </c>
      <c r="O536" s="4">
        <f t="shared" si="35"/>
        <v>2.9226315789473684E-2</v>
      </c>
    </row>
    <row r="537" spans="1:15" ht="15.75" hidden="1" x14ac:dyDescent="0.25">
      <c r="A537" s="3" t="s">
        <v>841</v>
      </c>
      <c r="B537" s="2" t="s">
        <v>63</v>
      </c>
      <c r="C537" s="2" t="s">
        <v>18</v>
      </c>
      <c r="D537" s="2" t="s">
        <v>51</v>
      </c>
      <c r="E537" s="2" t="s">
        <v>61</v>
      </c>
      <c r="F537" s="2">
        <v>3</v>
      </c>
      <c r="G537" s="2">
        <v>1667</v>
      </c>
      <c r="H537" s="2" t="str">
        <f>_xlfn.XLOOKUP(E537, Product_Master!A:A, Product_Master!B:B)</f>
        <v>Shoes</v>
      </c>
      <c r="I537" s="2" t="str">
        <f>_xlfn.XLOOKUP(E537, Product_Master!A:A, Product_Master!C:C)</f>
        <v>Clothing</v>
      </c>
      <c r="J537" s="2">
        <f>_xlfn.XLOOKUP(E537, Product_Master!A:A, Product_Master!D:D)</f>
        <v>2000</v>
      </c>
      <c r="K537" s="2">
        <f t="shared" si="32"/>
        <v>5001</v>
      </c>
      <c r="L537" s="2">
        <f t="shared" si="33"/>
        <v>6000</v>
      </c>
      <c r="M537" s="2">
        <f t="shared" si="34"/>
        <v>-999</v>
      </c>
      <c r="N537" s="2">
        <f>_xlfn.XLOOKUP(D537, Sales_Rep_Master!A:A, Sales_Rep_Master!B:B)</f>
        <v>900000</v>
      </c>
      <c r="O537" s="4">
        <f t="shared" si="35"/>
        <v>5.5566666666666664E-3</v>
      </c>
    </row>
    <row r="538" spans="1:15" ht="15.75" x14ac:dyDescent="0.25">
      <c r="A538" s="3" t="s">
        <v>842</v>
      </c>
      <c r="B538" s="2" t="s">
        <v>151</v>
      </c>
      <c r="C538" s="2" t="s">
        <v>26</v>
      </c>
      <c r="D538" s="2" t="s">
        <v>14</v>
      </c>
      <c r="E538" s="2" t="s">
        <v>28</v>
      </c>
      <c r="F538" s="2">
        <v>8</v>
      </c>
      <c r="G538" s="2">
        <v>7335</v>
      </c>
      <c r="H538" s="2" t="str">
        <f>_xlfn.XLOOKUP(E538, Product_Master!A:A, Product_Master!B:B)</f>
        <v>Laptop</v>
      </c>
      <c r="I538" s="2" t="str">
        <f>_xlfn.XLOOKUP(E538, Product_Master!A:A, Product_Master!C:C)</f>
        <v>Electronics</v>
      </c>
      <c r="J538" s="2">
        <f>_xlfn.XLOOKUP(E538, Product_Master!A:A, Product_Master!D:D)</f>
        <v>35000</v>
      </c>
      <c r="K538" s="2">
        <f t="shared" si="32"/>
        <v>58680</v>
      </c>
      <c r="L538" s="2">
        <f t="shared" si="33"/>
        <v>280000</v>
      </c>
      <c r="M538" s="2">
        <f t="shared" si="34"/>
        <v>-221320</v>
      </c>
      <c r="N538" s="2">
        <f>_xlfn.XLOOKUP(D538, Sales_Rep_Master!A:A, Sales_Rep_Master!B:B)</f>
        <v>880000</v>
      </c>
      <c r="O538" s="4">
        <f t="shared" si="35"/>
        <v>6.6681818181818175E-2</v>
      </c>
    </row>
    <row r="539" spans="1:15" ht="15.75" x14ac:dyDescent="0.25">
      <c r="A539" s="3" t="s">
        <v>843</v>
      </c>
      <c r="B539" s="2" t="s">
        <v>168</v>
      </c>
      <c r="C539" s="2" t="s">
        <v>18</v>
      </c>
      <c r="D539" s="2" t="s">
        <v>27</v>
      </c>
      <c r="E539" s="2" t="s">
        <v>20</v>
      </c>
      <c r="F539" s="2">
        <v>13</v>
      </c>
      <c r="G539" s="2">
        <v>2524</v>
      </c>
      <c r="H539" s="2" t="str">
        <f>_xlfn.XLOOKUP(E539, Product_Master!A:A, Product_Master!B:B)</f>
        <v>Headphones</v>
      </c>
      <c r="I539" s="2" t="str">
        <f>_xlfn.XLOOKUP(E539, Product_Master!A:A, Product_Master!C:C)</f>
        <v>Electronics</v>
      </c>
      <c r="J539" s="2">
        <f>_xlfn.XLOOKUP(E539, Product_Master!A:A, Product_Master!D:D)</f>
        <v>2000</v>
      </c>
      <c r="K539" s="2">
        <f t="shared" si="32"/>
        <v>32812</v>
      </c>
      <c r="L539" s="2">
        <f t="shared" si="33"/>
        <v>26000</v>
      </c>
      <c r="M539" s="2">
        <f t="shared" si="34"/>
        <v>6812</v>
      </c>
      <c r="N539" s="2">
        <f>_xlfn.XLOOKUP(D539, Sales_Rep_Master!A:A, Sales_Rep_Master!B:B)</f>
        <v>800000</v>
      </c>
      <c r="O539" s="4">
        <f t="shared" si="35"/>
        <v>4.1015000000000003E-2</v>
      </c>
    </row>
    <row r="540" spans="1:15" ht="15.75" x14ac:dyDescent="0.25">
      <c r="A540" s="3" t="s">
        <v>844</v>
      </c>
      <c r="B540" s="2" t="s">
        <v>845</v>
      </c>
      <c r="C540" s="2" t="s">
        <v>26</v>
      </c>
      <c r="D540" s="2" t="s">
        <v>54</v>
      </c>
      <c r="E540" s="2" t="s">
        <v>20</v>
      </c>
      <c r="F540" s="2">
        <v>5</v>
      </c>
      <c r="G540" s="2">
        <v>1166</v>
      </c>
      <c r="H540" s="2" t="str">
        <f>_xlfn.XLOOKUP(E540, Product_Master!A:A, Product_Master!B:B)</f>
        <v>Headphones</v>
      </c>
      <c r="I540" s="2" t="str">
        <f>_xlfn.XLOOKUP(E540, Product_Master!A:A, Product_Master!C:C)</f>
        <v>Electronics</v>
      </c>
      <c r="J540" s="2">
        <f>_xlfn.XLOOKUP(E540, Product_Master!A:A, Product_Master!D:D)</f>
        <v>2000</v>
      </c>
      <c r="K540" s="2">
        <f t="shared" si="32"/>
        <v>5830</v>
      </c>
      <c r="L540" s="2">
        <f t="shared" si="33"/>
        <v>10000</v>
      </c>
      <c r="M540" s="2">
        <f t="shared" si="34"/>
        <v>-4170</v>
      </c>
      <c r="N540" s="2">
        <f>_xlfn.XLOOKUP(D540, Sales_Rep_Master!A:A, Sales_Rep_Master!B:B)</f>
        <v>890000</v>
      </c>
      <c r="O540" s="4">
        <f t="shared" si="35"/>
        <v>6.550561797752809E-3</v>
      </c>
    </row>
    <row r="541" spans="1:15" ht="15.75" hidden="1" x14ac:dyDescent="0.25">
      <c r="A541" s="3" t="s">
        <v>846</v>
      </c>
      <c r="B541" s="2" t="s">
        <v>532</v>
      </c>
      <c r="C541" s="2" t="s">
        <v>26</v>
      </c>
      <c r="D541" s="2" t="s">
        <v>10</v>
      </c>
      <c r="E541" s="2" t="s">
        <v>23</v>
      </c>
      <c r="F541" s="2">
        <v>2</v>
      </c>
      <c r="G541" s="2">
        <v>2883</v>
      </c>
      <c r="H541" s="2" t="str">
        <f>_xlfn.XLOOKUP(E541, Product_Master!A:A, Product_Master!B:B)</f>
        <v>Sofa</v>
      </c>
      <c r="I541" s="2" t="str">
        <f>_xlfn.XLOOKUP(E541, Product_Master!A:A, Product_Master!C:C)</f>
        <v>Furniture</v>
      </c>
      <c r="J541" s="2">
        <f>_xlfn.XLOOKUP(E541, Product_Master!A:A, Product_Master!D:D)</f>
        <v>15000</v>
      </c>
      <c r="K541" s="2">
        <f t="shared" si="32"/>
        <v>5766</v>
      </c>
      <c r="L541" s="2">
        <f t="shared" si="33"/>
        <v>30000</v>
      </c>
      <c r="M541" s="2">
        <f t="shared" si="34"/>
        <v>-24234</v>
      </c>
      <c r="N541" s="2">
        <f>_xlfn.XLOOKUP(D541, Sales_Rep_Master!A:A, Sales_Rep_Master!B:B)</f>
        <v>920000</v>
      </c>
      <c r="O541" s="4">
        <f t="shared" si="35"/>
        <v>6.2673913043478262E-3</v>
      </c>
    </row>
    <row r="542" spans="1:15" ht="15.75" hidden="1" x14ac:dyDescent="0.25">
      <c r="A542" s="3" t="s">
        <v>847</v>
      </c>
      <c r="B542" s="2" t="s">
        <v>848</v>
      </c>
      <c r="C542" s="2" t="s">
        <v>18</v>
      </c>
      <c r="D542" s="2" t="s">
        <v>14</v>
      </c>
      <c r="E542" s="2" t="s">
        <v>61</v>
      </c>
      <c r="F542" s="2">
        <v>1</v>
      </c>
      <c r="G542" s="2">
        <v>3220</v>
      </c>
      <c r="H542" s="2" t="str">
        <f>_xlfn.XLOOKUP(E542, Product_Master!A:A, Product_Master!B:B)</f>
        <v>Shoes</v>
      </c>
      <c r="I542" s="2" t="str">
        <f>_xlfn.XLOOKUP(E542, Product_Master!A:A, Product_Master!C:C)</f>
        <v>Clothing</v>
      </c>
      <c r="J542" s="2">
        <f>_xlfn.XLOOKUP(E542, Product_Master!A:A, Product_Master!D:D)</f>
        <v>2000</v>
      </c>
      <c r="K542" s="2">
        <f t="shared" si="32"/>
        <v>3220</v>
      </c>
      <c r="L542" s="2">
        <f t="shared" si="33"/>
        <v>2000</v>
      </c>
      <c r="M542" s="2">
        <f t="shared" si="34"/>
        <v>1220</v>
      </c>
      <c r="N542" s="2">
        <f>_xlfn.XLOOKUP(D542, Sales_Rep_Master!A:A, Sales_Rep_Master!B:B)</f>
        <v>880000</v>
      </c>
      <c r="O542" s="4">
        <f t="shared" si="35"/>
        <v>3.6590909090909091E-3</v>
      </c>
    </row>
    <row r="543" spans="1:15" ht="15.75" x14ac:dyDescent="0.25">
      <c r="A543" s="3" t="s">
        <v>849</v>
      </c>
      <c r="B543" s="2" t="s">
        <v>640</v>
      </c>
      <c r="C543" s="2" t="s">
        <v>18</v>
      </c>
      <c r="D543" s="2" t="s">
        <v>54</v>
      </c>
      <c r="E543" s="2" t="s">
        <v>28</v>
      </c>
      <c r="F543" s="2">
        <v>7</v>
      </c>
      <c r="G543" s="2">
        <v>5820</v>
      </c>
      <c r="H543" s="2" t="str">
        <f>_xlfn.XLOOKUP(E543, Product_Master!A:A, Product_Master!B:B)</f>
        <v>Laptop</v>
      </c>
      <c r="I543" s="2" t="str">
        <f>_xlfn.XLOOKUP(E543, Product_Master!A:A, Product_Master!C:C)</f>
        <v>Electronics</v>
      </c>
      <c r="J543" s="2">
        <f>_xlfn.XLOOKUP(E543, Product_Master!A:A, Product_Master!D:D)</f>
        <v>35000</v>
      </c>
      <c r="K543" s="2">
        <f t="shared" si="32"/>
        <v>40740</v>
      </c>
      <c r="L543" s="2">
        <f t="shared" si="33"/>
        <v>245000</v>
      </c>
      <c r="M543" s="2">
        <f t="shared" si="34"/>
        <v>-204260</v>
      </c>
      <c r="N543" s="2">
        <f>_xlfn.XLOOKUP(D543, Sales_Rep_Master!A:A, Sales_Rep_Master!B:B)</f>
        <v>890000</v>
      </c>
      <c r="O543" s="4">
        <f t="shared" si="35"/>
        <v>4.5775280898876405E-2</v>
      </c>
    </row>
    <row r="544" spans="1:15" ht="15.75" x14ac:dyDescent="0.25">
      <c r="A544" s="3" t="s">
        <v>850</v>
      </c>
      <c r="B544" s="2" t="s">
        <v>851</v>
      </c>
      <c r="C544" s="2" t="s">
        <v>18</v>
      </c>
      <c r="D544" s="2" t="s">
        <v>51</v>
      </c>
      <c r="E544" s="2" t="s">
        <v>20</v>
      </c>
      <c r="F544" s="2">
        <v>4</v>
      </c>
      <c r="G544" s="2">
        <v>3398</v>
      </c>
      <c r="H544" s="2" t="str">
        <f>_xlfn.XLOOKUP(E544, Product_Master!A:A, Product_Master!B:B)</f>
        <v>Headphones</v>
      </c>
      <c r="I544" s="2" t="str">
        <f>_xlfn.XLOOKUP(E544, Product_Master!A:A, Product_Master!C:C)</f>
        <v>Electronics</v>
      </c>
      <c r="J544" s="2">
        <f>_xlfn.XLOOKUP(E544, Product_Master!A:A, Product_Master!D:D)</f>
        <v>2000</v>
      </c>
      <c r="K544" s="2">
        <f t="shared" si="32"/>
        <v>13592</v>
      </c>
      <c r="L544" s="2">
        <f t="shared" si="33"/>
        <v>8000</v>
      </c>
      <c r="M544" s="2">
        <f t="shared" si="34"/>
        <v>5592</v>
      </c>
      <c r="N544" s="2">
        <f>_xlfn.XLOOKUP(D544, Sales_Rep_Master!A:A, Sales_Rep_Master!B:B)</f>
        <v>900000</v>
      </c>
      <c r="O544" s="4">
        <f t="shared" si="35"/>
        <v>1.5102222222222222E-2</v>
      </c>
    </row>
    <row r="545" spans="1:15" ht="15.75" hidden="1" x14ac:dyDescent="0.25">
      <c r="A545" s="3" t="s">
        <v>852</v>
      </c>
      <c r="B545" s="2" t="s">
        <v>853</v>
      </c>
      <c r="C545" s="2" t="s">
        <v>33</v>
      </c>
      <c r="D545" s="2" t="s">
        <v>14</v>
      </c>
      <c r="E545" s="2" t="s">
        <v>34</v>
      </c>
      <c r="F545" s="2">
        <v>9</v>
      </c>
      <c r="G545" s="2">
        <v>6246</v>
      </c>
      <c r="H545" s="2" t="str">
        <f>_xlfn.XLOOKUP(E545, Product_Master!A:A, Product_Master!B:B)</f>
        <v>Jacket</v>
      </c>
      <c r="I545" s="2" t="str">
        <f>_xlfn.XLOOKUP(E545, Product_Master!A:A, Product_Master!C:C)</f>
        <v>Clothing</v>
      </c>
      <c r="J545" s="2">
        <f>_xlfn.XLOOKUP(E545, Product_Master!A:A, Product_Master!D:D)</f>
        <v>1500</v>
      </c>
      <c r="K545" s="2">
        <f t="shared" si="32"/>
        <v>56214</v>
      </c>
      <c r="L545" s="2">
        <f t="shared" si="33"/>
        <v>13500</v>
      </c>
      <c r="M545" s="2">
        <f t="shared" si="34"/>
        <v>42714</v>
      </c>
      <c r="N545" s="2">
        <f>_xlfn.XLOOKUP(D545, Sales_Rep_Master!A:A, Sales_Rep_Master!B:B)</f>
        <v>880000</v>
      </c>
      <c r="O545" s="4">
        <f t="shared" si="35"/>
        <v>6.3879545454545453E-2</v>
      </c>
    </row>
    <row r="546" spans="1:15" ht="15.75" hidden="1" x14ac:dyDescent="0.25">
      <c r="A546" s="3" t="s">
        <v>854</v>
      </c>
      <c r="B546" s="2" t="s">
        <v>696</v>
      </c>
      <c r="C546" s="2" t="s">
        <v>18</v>
      </c>
      <c r="D546" s="2" t="s">
        <v>10</v>
      </c>
      <c r="E546" s="2" t="s">
        <v>23</v>
      </c>
      <c r="F546" s="2">
        <v>13</v>
      </c>
      <c r="G546" s="2">
        <v>2095</v>
      </c>
      <c r="H546" s="2" t="str">
        <f>_xlfn.XLOOKUP(E546, Product_Master!A:A, Product_Master!B:B)</f>
        <v>Sofa</v>
      </c>
      <c r="I546" s="2" t="str">
        <f>_xlfn.XLOOKUP(E546, Product_Master!A:A, Product_Master!C:C)</f>
        <v>Furniture</v>
      </c>
      <c r="J546" s="2">
        <f>_xlfn.XLOOKUP(E546, Product_Master!A:A, Product_Master!D:D)</f>
        <v>15000</v>
      </c>
      <c r="K546" s="2">
        <f t="shared" si="32"/>
        <v>27235</v>
      </c>
      <c r="L546" s="2">
        <f t="shared" si="33"/>
        <v>195000</v>
      </c>
      <c r="M546" s="2">
        <f t="shared" si="34"/>
        <v>-167765</v>
      </c>
      <c r="N546" s="2">
        <f>_xlfn.XLOOKUP(D546, Sales_Rep_Master!A:A, Sales_Rep_Master!B:B)</f>
        <v>920000</v>
      </c>
      <c r="O546" s="4">
        <f t="shared" si="35"/>
        <v>2.9603260869565218E-2</v>
      </c>
    </row>
    <row r="547" spans="1:15" ht="15.75" x14ac:dyDescent="0.25">
      <c r="A547" s="3" t="s">
        <v>855</v>
      </c>
      <c r="B547" s="2" t="s">
        <v>298</v>
      </c>
      <c r="C547" s="2" t="s">
        <v>9</v>
      </c>
      <c r="D547" s="2" t="s">
        <v>54</v>
      </c>
      <c r="E547" s="2" t="s">
        <v>20</v>
      </c>
      <c r="F547" s="2">
        <v>2</v>
      </c>
      <c r="G547" s="2">
        <v>3028</v>
      </c>
      <c r="H547" s="2" t="str">
        <f>_xlfn.XLOOKUP(E547, Product_Master!A:A, Product_Master!B:B)</f>
        <v>Headphones</v>
      </c>
      <c r="I547" s="2" t="str">
        <f>_xlfn.XLOOKUP(E547, Product_Master!A:A, Product_Master!C:C)</f>
        <v>Electronics</v>
      </c>
      <c r="J547" s="2">
        <f>_xlfn.XLOOKUP(E547, Product_Master!A:A, Product_Master!D:D)</f>
        <v>2000</v>
      </c>
      <c r="K547" s="2">
        <f t="shared" si="32"/>
        <v>6056</v>
      </c>
      <c r="L547" s="2">
        <f t="shared" si="33"/>
        <v>4000</v>
      </c>
      <c r="M547" s="2">
        <f t="shared" si="34"/>
        <v>2056</v>
      </c>
      <c r="N547" s="2">
        <f>_xlfn.XLOOKUP(D547, Sales_Rep_Master!A:A, Sales_Rep_Master!B:B)</f>
        <v>890000</v>
      </c>
      <c r="O547" s="4">
        <f t="shared" si="35"/>
        <v>6.8044943820224722E-3</v>
      </c>
    </row>
    <row r="548" spans="1:15" ht="15.75" hidden="1" x14ac:dyDescent="0.25">
      <c r="A548" s="3" t="s">
        <v>856</v>
      </c>
      <c r="B548" s="2" t="s">
        <v>527</v>
      </c>
      <c r="C548" s="2" t="s">
        <v>18</v>
      </c>
      <c r="D548" s="2" t="s">
        <v>37</v>
      </c>
      <c r="E548" s="2" t="s">
        <v>40</v>
      </c>
      <c r="F548" s="2">
        <v>7</v>
      </c>
      <c r="G548" s="2">
        <v>2114</v>
      </c>
      <c r="H548" s="2" t="str">
        <f>_xlfn.XLOOKUP(E548, Product_Master!A:A, Product_Master!B:B)</f>
        <v>Table</v>
      </c>
      <c r="I548" s="2" t="str">
        <f>_xlfn.XLOOKUP(E548, Product_Master!A:A, Product_Master!C:C)</f>
        <v>Furniture</v>
      </c>
      <c r="J548" s="2">
        <f>_xlfn.XLOOKUP(E548, Product_Master!A:A, Product_Master!D:D)</f>
        <v>7000</v>
      </c>
      <c r="K548" s="2">
        <f t="shared" si="32"/>
        <v>14798</v>
      </c>
      <c r="L548" s="2">
        <f t="shared" si="33"/>
        <v>49000</v>
      </c>
      <c r="M548" s="2">
        <f t="shared" si="34"/>
        <v>-34202</v>
      </c>
      <c r="N548" s="2">
        <f>_xlfn.XLOOKUP(D548, Sales_Rep_Master!A:A, Sales_Rep_Master!B:B)</f>
        <v>850000</v>
      </c>
      <c r="O548" s="4">
        <f t="shared" si="35"/>
        <v>1.7409411764705882E-2</v>
      </c>
    </row>
    <row r="549" spans="1:15" ht="15.75" hidden="1" x14ac:dyDescent="0.25">
      <c r="A549" s="3" t="s">
        <v>857</v>
      </c>
      <c r="B549" s="2" t="s">
        <v>858</v>
      </c>
      <c r="C549" s="2" t="s">
        <v>33</v>
      </c>
      <c r="D549" s="2" t="s">
        <v>54</v>
      </c>
      <c r="E549" s="2" t="s">
        <v>15</v>
      </c>
      <c r="F549" s="2">
        <v>13</v>
      </c>
      <c r="G549" s="2">
        <v>3872</v>
      </c>
      <c r="H549" s="2" t="str">
        <f>_xlfn.XLOOKUP(E549, Product_Master!A:A, Product_Master!B:B)</f>
        <v>Chair</v>
      </c>
      <c r="I549" s="2" t="str">
        <f>_xlfn.XLOOKUP(E549, Product_Master!A:A, Product_Master!C:C)</f>
        <v>Furniture</v>
      </c>
      <c r="J549" s="2">
        <f>_xlfn.XLOOKUP(E549, Product_Master!A:A, Product_Master!D:D)</f>
        <v>2500</v>
      </c>
      <c r="K549" s="2">
        <f t="shared" si="32"/>
        <v>50336</v>
      </c>
      <c r="L549" s="2">
        <f t="shared" si="33"/>
        <v>32500</v>
      </c>
      <c r="M549" s="2">
        <f t="shared" si="34"/>
        <v>17836</v>
      </c>
      <c r="N549" s="2">
        <f>_xlfn.XLOOKUP(D549, Sales_Rep_Master!A:A, Sales_Rep_Master!B:B)</f>
        <v>890000</v>
      </c>
      <c r="O549" s="4">
        <f t="shared" si="35"/>
        <v>5.6557303370786516E-2</v>
      </c>
    </row>
    <row r="550" spans="1:15" ht="15.75" x14ac:dyDescent="0.25">
      <c r="A550" s="3" t="s">
        <v>859</v>
      </c>
      <c r="B550" s="2" t="s">
        <v>397</v>
      </c>
      <c r="C550" s="2" t="s">
        <v>18</v>
      </c>
      <c r="D550" s="2" t="s">
        <v>54</v>
      </c>
      <c r="E550" s="2" t="s">
        <v>28</v>
      </c>
      <c r="F550" s="2">
        <v>5</v>
      </c>
      <c r="G550" s="2">
        <v>5477</v>
      </c>
      <c r="H550" s="2" t="str">
        <f>_xlfn.XLOOKUP(E550, Product_Master!A:A, Product_Master!B:B)</f>
        <v>Laptop</v>
      </c>
      <c r="I550" s="2" t="str">
        <f>_xlfn.XLOOKUP(E550, Product_Master!A:A, Product_Master!C:C)</f>
        <v>Electronics</v>
      </c>
      <c r="J550" s="2">
        <f>_xlfn.XLOOKUP(E550, Product_Master!A:A, Product_Master!D:D)</f>
        <v>35000</v>
      </c>
      <c r="K550" s="2">
        <f t="shared" si="32"/>
        <v>27385</v>
      </c>
      <c r="L550" s="2">
        <f t="shared" si="33"/>
        <v>175000</v>
      </c>
      <c r="M550" s="2">
        <f t="shared" si="34"/>
        <v>-147615</v>
      </c>
      <c r="N550" s="2">
        <f>_xlfn.XLOOKUP(D550, Sales_Rep_Master!A:A, Sales_Rep_Master!B:B)</f>
        <v>890000</v>
      </c>
      <c r="O550" s="4">
        <f t="shared" si="35"/>
        <v>3.0769662921348313E-2</v>
      </c>
    </row>
    <row r="551" spans="1:15" ht="15.75" x14ac:dyDescent="0.25">
      <c r="A551" s="3" t="s">
        <v>860</v>
      </c>
      <c r="B551" s="2" t="s">
        <v>394</v>
      </c>
      <c r="C551" s="2" t="s">
        <v>9</v>
      </c>
      <c r="D551" s="2" t="s">
        <v>27</v>
      </c>
      <c r="E551" s="2" t="s">
        <v>28</v>
      </c>
      <c r="F551" s="2">
        <v>13</v>
      </c>
      <c r="G551" s="2">
        <v>5122</v>
      </c>
      <c r="H551" s="2" t="str">
        <f>_xlfn.XLOOKUP(E551, Product_Master!A:A, Product_Master!B:B)</f>
        <v>Laptop</v>
      </c>
      <c r="I551" s="2" t="str">
        <f>_xlfn.XLOOKUP(E551, Product_Master!A:A, Product_Master!C:C)</f>
        <v>Electronics</v>
      </c>
      <c r="J551" s="2">
        <f>_xlfn.XLOOKUP(E551, Product_Master!A:A, Product_Master!D:D)</f>
        <v>35000</v>
      </c>
      <c r="K551" s="2">
        <f t="shared" si="32"/>
        <v>66586</v>
      </c>
      <c r="L551" s="2">
        <f t="shared" si="33"/>
        <v>455000</v>
      </c>
      <c r="M551" s="2">
        <f t="shared" si="34"/>
        <v>-388414</v>
      </c>
      <c r="N551" s="2">
        <f>_xlfn.XLOOKUP(D551, Sales_Rep_Master!A:A, Sales_Rep_Master!B:B)</f>
        <v>800000</v>
      </c>
      <c r="O551" s="4">
        <f t="shared" si="35"/>
        <v>8.3232500000000001E-2</v>
      </c>
    </row>
    <row r="552" spans="1:15" ht="15.75" hidden="1" x14ac:dyDescent="0.25">
      <c r="A552" s="3" t="s">
        <v>861</v>
      </c>
      <c r="B552" s="2" t="s">
        <v>588</v>
      </c>
      <c r="C552" s="2" t="s">
        <v>26</v>
      </c>
      <c r="D552" s="2" t="s">
        <v>37</v>
      </c>
      <c r="E552" s="2" t="s">
        <v>61</v>
      </c>
      <c r="F552" s="2">
        <v>6</v>
      </c>
      <c r="G552" s="2">
        <v>2769</v>
      </c>
      <c r="H552" s="2" t="str">
        <f>_xlfn.XLOOKUP(E552, Product_Master!A:A, Product_Master!B:B)</f>
        <v>Shoes</v>
      </c>
      <c r="I552" s="2" t="str">
        <f>_xlfn.XLOOKUP(E552, Product_Master!A:A, Product_Master!C:C)</f>
        <v>Clothing</v>
      </c>
      <c r="J552" s="2">
        <f>_xlfn.XLOOKUP(E552, Product_Master!A:A, Product_Master!D:D)</f>
        <v>2000</v>
      </c>
      <c r="K552" s="2">
        <f t="shared" si="32"/>
        <v>16614</v>
      </c>
      <c r="L552" s="2">
        <f t="shared" si="33"/>
        <v>12000</v>
      </c>
      <c r="M552" s="2">
        <f t="shared" si="34"/>
        <v>4614</v>
      </c>
      <c r="N552" s="2">
        <f>_xlfn.XLOOKUP(D552, Sales_Rep_Master!A:A, Sales_Rep_Master!B:B)</f>
        <v>850000</v>
      </c>
      <c r="O552" s="4">
        <f t="shared" si="35"/>
        <v>1.9545882352941177E-2</v>
      </c>
    </row>
    <row r="553" spans="1:15" ht="15.75" x14ac:dyDescent="0.25">
      <c r="A553" s="3" t="s">
        <v>862</v>
      </c>
      <c r="B553" s="2" t="s">
        <v>863</v>
      </c>
      <c r="C553" s="2" t="s">
        <v>26</v>
      </c>
      <c r="D553" s="2" t="s">
        <v>51</v>
      </c>
      <c r="E553" s="2" t="s">
        <v>20</v>
      </c>
      <c r="F553" s="2">
        <v>15</v>
      </c>
      <c r="G553" s="2">
        <v>4061</v>
      </c>
      <c r="H553" s="2" t="str">
        <f>_xlfn.XLOOKUP(E553, Product_Master!A:A, Product_Master!B:B)</f>
        <v>Headphones</v>
      </c>
      <c r="I553" s="2" t="str">
        <f>_xlfn.XLOOKUP(E553, Product_Master!A:A, Product_Master!C:C)</f>
        <v>Electronics</v>
      </c>
      <c r="J553" s="2">
        <f>_xlfn.XLOOKUP(E553, Product_Master!A:A, Product_Master!D:D)</f>
        <v>2000</v>
      </c>
      <c r="K553" s="2">
        <f t="shared" si="32"/>
        <v>60915</v>
      </c>
      <c r="L553" s="2">
        <f t="shared" si="33"/>
        <v>30000</v>
      </c>
      <c r="M553" s="2">
        <f t="shared" si="34"/>
        <v>30915</v>
      </c>
      <c r="N553" s="2">
        <f>_xlfn.XLOOKUP(D553, Sales_Rep_Master!A:A, Sales_Rep_Master!B:B)</f>
        <v>900000</v>
      </c>
      <c r="O553" s="4">
        <f t="shared" si="35"/>
        <v>6.7683333333333331E-2</v>
      </c>
    </row>
    <row r="554" spans="1:15" ht="15.75" hidden="1" x14ac:dyDescent="0.25">
      <c r="A554" s="3" t="s">
        <v>864</v>
      </c>
      <c r="B554" s="2" t="s">
        <v>418</v>
      </c>
      <c r="C554" s="2" t="s">
        <v>9</v>
      </c>
      <c r="D554" s="2" t="s">
        <v>27</v>
      </c>
      <c r="E554" s="2" t="s">
        <v>61</v>
      </c>
      <c r="F554" s="2">
        <v>15</v>
      </c>
      <c r="G554" s="2">
        <v>1565</v>
      </c>
      <c r="H554" s="2" t="str">
        <f>_xlfn.XLOOKUP(E554, Product_Master!A:A, Product_Master!B:B)</f>
        <v>Shoes</v>
      </c>
      <c r="I554" s="2" t="str">
        <f>_xlfn.XLOOKUP(E554, Product_Master!A:A, Product_Master!C:C)</f>
        <v>Clothing</v>
      </c>
      <c r="J554" s="2">
        <f>_xlfn.XLOOKUP(E554, Product_Master!A:A, Product_Master!D:D)</f>
        <v>2000</v>
      </c>
      <c r="K554" s="2">
        <f t="shared" si="32"/>
        <v>23475</v>
      </c>
      <c r="L554" s="2">
        <f t="shared" si="33"/>
        <v>30000</v>
      </c>
      <c r="M554" s="2">
        <f t="shared" si="34"/>
        <v>-6525</v>
      </c>
      <c r="N554" s="2">
        <f>_xlfn.XLOOKUP(D554, Sales_Rep_Master!A:A, Sales_Rep_Master!B:B)</f>
        <v>800000</v>
      </c>
      <c r="O554" s="4">
        <f t="shared" si="35"/>
        <v>2.9343749999999998E-2</v>
      </c>
    </row>
    <row r="555" spans="1:15" ht="15.75" x14ac:dyDescent="0.25">
      <c r="A555" s="3" t="s">
        <v>865</v>
      </c>
      <c r="B555" s="2" t="s">
        <v>637</v>
      </c>
      <c r="C555" s="2" t="s">
        <v>33</v>
      </c>
      <c r="D555" s="2" t="s">
        <v>14</v>
      </c>
      <c r="E555" s="2" t="s">
        <v>28</v>
      </c>
      <c r="F555" s="2">
        <v>5</v>
      </c>
      <c r="G555" s="2">
        <v>1425</v>
      </c>
      <c r="H555" s="2" t="str">
        <f>_xlfn.XLOOKUP(E555, Product_Master!A:A, Product_Master!B:B)</f>
        <v>Laptop</v>
      </c>
      <c r="I555" s="2" t="str">
        <f>_xlfn.XLOOKUP(E555, Product_Master!A:A, Product_Master!C:C)</f>
        <v>Electronics</v>
      </c>
      <c r="J555" s="2">
        <f>_xlfn.XLOOKUP(E555, Product_Master!A:A, Product_Master!D:D)</f>
        <v>35000</v>
      </c>
      <c r="K555" s="2">
        <f t="shared" si="32"/>
        <v>7125</v>
      </c>
      <c r="L555" s="2">
        <f t="shared" si="33"/>
        <v>175000</v>
      </c>
      <c r="M555" s="2">
        <f t="shared" si="34"/>
        <v>-167875</v>
      </c>
      <c r="N555" s="2">
        <f>_xlfn.XLOOKUP(D555, Sales_Rep_Master!A:A, Sales_Rep_Master!B:B)</f>
        <v>880000</v>
      </c>
      <c r="O555" s="4">
        <f t="shared" si="35"/>
        <v>8.0965909090909092E-3</v>
      </c>
    </row>
    <row r="556" spans="1:15" ht="15.75" hidden="1" x14ac:dyDescent="0.25">
      <c r="A556" s="3" t="s">
        <v>866</v>
      </c>
      <c r="B556" s="2" t="s">
        <v>311</v>
      </c>
      <c r="C556" s="2" t="s">
        <v>9</v>
      </c>
      <c r="D556" s="2" t="s">
        <v>37</v>
      </c>
      <c r="E556" s="2" t="s">
        <v>23</v>
      </c>
      <c r="F556" s="2">
        <v>6</v>
      </c>
      <c r="G556" s="2">
        <v>5051</v>
      </c>
      <c r="H556" s="2" t="str">
        <f>_xlfn.XLOOKUP(E556, Product_Master!A:A, Product_Master!B:B)</f>
        <v>Sofa</v>
      </c>
      <c r="I556" s="2" t="str">
        <f>_xlfn.XLOOKUP(E556, Product_Master!A:A, Product_Master!C:C)</f>
        <v>Furniture</v>
      </c>
      <c r="J556" s="2">
        <f>_xlfn.XLOOKUP(E556, Product_Master!A:A, Product_Master!D:D)</f>
        <v>15000</v>
      </c>
      <c r="K556" s="2">
        <f t="shared" si="32"/>
        <v>30306</v>
      </c>
      <c r="L556" s="2">
        <f t="shared" si="33"/>
        <v>90000</v>
      </c>
      <c r="M556" s="2">
        <f t="shared" si="34"/>
        <v>-59694</v>
      </c>
      <c r="N556" s="2">
        <f>_xlfn.XLOOKUP(D556, Sales_Rep_Master!A:A, Sales_Rep_Master!B:B)</f>
        <v>850000</v>
      </c>
      <c r="O556" s="4">
        <f t="shared" si="35"/>
        <v>3.5654117647058822E-2</v>
      </c>
    </row>
    <row r="557" spans="1:15" ht="15.75" hidden="1" x14ac:dyDescent="0.25">
      <c r="A557" s="3" t="s">
        <v>867</v>
      </c>
      <c r="B557" s="2" t="s">
        <v>676</v>
      </c>
      <c r="C557" s="2" t="s">
        <v>26</v>
      </c>
      <c r="D557" s="2" t="s">
        <v>14</v>
      </c>
      <c r="E557" s="2" t="s">
        <v>23</v>
      </c>
      <c r="F557" s="2">
        <v>8</v>
      </c>
      <c r="G557" s="2">
        <v>1006</v>
      </c>
      <c r="H557" s="2" t="str">
        <f>_xlfn.XLOOKUP(E557, Product_Master!A:A, Product_Master!B:B)</f>
        <v>Sofa</v>
      </c>
      <c r="I557" s="2" t="str">
        <f>_xlfn.XLOOKUP(E557, Product_Master!A:A, Product_Master!C:C)</f>
        <v>Furniture</v>
      </c>
      <c r="J557" s="2">
        <f>_xlfn.XLOOKUP(E557, Product_Master!A:A, Product_Master!D:D)</f>
        <v>15000</v>
      </c>
      <c r="K557" s="2">
        <f t="shared" si="32"/>
        <v>8048</v>
      </c>
      <c r="L557" s="2">
        <f t="shared" si="33"/>
        <v>120000</v>
      </c>
      <c r="M557" s="2">
        <f t="shared" si="34"/>
        <v>-111952</v>
      </c>
      <c r="N557" s="2">
        <f>_xlfn.XLOOKUP(D557, Sales_Rep_Master!A:A, Sales_Rep_Master!B:B)</f>
        <v>880000</v>
      </c>
      <c r="O557" s="4">
        <f t="shared" si="35"/>
        <v>9.1454545454545452E-3</v>
      </c>
    </row>
    <row r="558" spans="1:15" ht="15.75" hidden="1" x14ac:dyDescent="0.25">
      <c r="A558" s="3" t="s">
        <v>868</v>
      </c>
      <c r="B558" s="2" t="s">
        <v>869</v>
      </c>
      <c r="C558" s="2" t="s">
        <v>26</v>
      </c>
      <c r="D558" s="2" t="s">
        <v>51</v>
      </c>
      <c r="E558" s="2" t="s">
        <v>34</v>
      </c>
      <c r="F558" s="2">
        <v>3</v>
      </c>
      <c r="G558" s="2">
        <v>4954</v>
      </c>
      <c r="H558" s="2" t="str">
        <f>_xlfn.XLOOKUP(E558, Product_Master!A:A, Product_Master!B:B)</f>
        <v>Jacket</v>
      </c>
      <c r="I558" s="2" t="str">
        <f>_xlfn.XLOOKUP(E558, Product_Master!A:A, Product_Master!C:C)</f>
        <v>Clothing</v>
      </c>
      <c r="J558" s="2">
        <f>_xlfn.XLOOKUP(E558, Product_Master!A:A, Product_Master!D:D)</f>
        <v>1500</v>
      </c>
      <c r="K558" s="2">
        <f t="shared" si="32"/>
        <v>14862</v>
      </c>
      <c r="L558" s="2">
        <f t="shared" si="33"/>
        <v>4500</v>
      </c>
      <c r="M558" s="2">
        <f t="shared" si="34"/>
        <v>10362</v>
      </c>
      <c r="N558" s="2">
        <f>_xlfn.XLOOKUP(D558, Sales_Rep_Master!A:A, Sales_Rep_Master!B:B)</f>
        <v>900000</v>
      </c>
      <c r="O558" s="4">
        <f t="shared" si="35"/>
        <v>1.6513333333333335E-2</v>
      </c>
    </row>
    <row r="559" spans="1:15" ht="15.75" hidden="1" x14ac:dyDescent="0.25">
      <c r="A559" s="3" t="s">
        <v>870</v>
      </c>
      <c r="B559" s="2" t="s">
        <v>155</v>
      </c>
      <c r="C559" s="2" t="s">
        <v>9</v>
      </c>
      <c r="D559" s="2" t="s">
        <v>152</v>
      </c>
      <c r="E559" s="2" t="s">
        <v>23</v>
      </c>
      <c r="F559" s="2">
        <v>1</v>
      </c>
      <c r="G559" s="2">
        <v>5469</v>
      </c>
      <c r="H559" s="2" t="str">
        <f>_xlfn.XLOOKUP(E559, Product_Master!A:A, Product_Master!B:B)</f>
        <v>Sofa</v>
      </c>
      <c r="I559" s="2" t="str">
        <f>_xlfn.XLOOKUP(E559, Product_Master!A:A, Product_Master!C:C)</f>
        <v>Furniture</v>
      </c>
      <c r="J559" s="2">
        <f>_xlfn.XLOOKUP(E559, Product_Master!A:A, Product_Master!D:D)</f>
        <v>15000</v>
      </c>
      <c r="K559" s="2">
        <f t="shared" si="32"/>
        <v>5469</v>
      </c>
      <c r="L559" s="2">
        <f t="shared" si="33"/>
        <v>15000</v>
      </c>
      <c r="M559" s="2">
        <f t="shared" si="34"/>
        <v>-9531</v>
      </c>
      <c r="N559" s="2">
        <f>_xlfn.XLOOKUP(D559, Sales_Rep_Master!A:A, Sales_Rep_Master!B:B)</f>
        <v>870000</v>
      </c>
      <c r="O559" s="4">
        <f t="shared" si="35"/>
        <v>6.2862068965517243E-3</v>
      </c>
    </row>
    <row r="560" spans="1:15" ht="15.75" x14ac:dyDescent="0.25">
      <c r="A560" s="3" t="s">
        <v>871</v>
      </c>
      <c r="B560" s="2" t="s">
        <v>236</v>
      </c>
      <c r="C560" s="2" t="s">
        <v>33</v>
      </c>
      <c r="D560" s="2" t="s">
        <v>51</v>
      </c>
      <c r="E560" s="2" t="s">
        <v>11</v>
      </c>
      <c r="F560" s="2">
        <v>10</v>
      </c>
      <c r="G560" s="2">
        <v>5315</v>
      </c>
      <c r="H560" s="2" t="str">
        <f>_xlfn.XLOOKUP(E560, Product_Master!A:A, Product_Master!B:B)</f>
        <v>Mobile</v>
      </c>
      <c r="I560" s="2" t="str">
        <f>_xlfn.XLOOKUP(E560, Product_Master!A:A, Product_Master!C:C)</f>
        <v>Electronics</v>
      </c>
      <c r="J560" s="2">
        <f>_xlfn.XLOOKUP(E560, Product_Master!A:A, Product_Master!D:D)</f>
        <v>18000</v>
      </c>
      <c r="K560" s="2">
        <f t="shared" si="32"/>
        <v>53150</v>
      </c>
      <c r="L560" s="2">
        <f t="shared" si="33"/>
        <v>180000</v>
      </c>
      <c r="M560" s="2">
        <f t="shared" si="34"/>
        <v>-126850</v>
      </c>
      <c r="N560" s="2">
        <f>_xlfn.XLOOKUP(D560, Sales_Rep_Master!A:A, Sales_Rep_Master!B:B)</f>
        <v>900000</v>
      </c>
      <c r="O560" s="4">
        <f t="shared" si="35"/>
        <v>5.9055555555555556E-2</v>
      </c>
    </row>
    <row r="561" spans="1:15" ht="15.75" x14ac:dyDescent="0.25">
      <c r="A561" s="3" t="s">
        <v>872</v>
      </c>
      <c r="B561" s="2" t="s">
        <v>873</v>
      </c>
      <c r="C561" s="2" t="s">
        <v>33</v>
      </c>
      <c r="D561" s="2" t="s">
        <v>19</v>
      </c>
      <c r="E561" s="2" t="s">
        <v>20</v>
      </c>
      <c r="F561" s="2">
        <v>4</v>
      </c>
      <c r="G561" s="2">
        <v>2238</v>
      </c>
      <c r="H561" s="2" t="str">
        <f>_xlfn.XLOOKUP(E561, Product_Master!A:A, Product_Master!B:B)</f>
        <v>Headphones</v>
      </c>
      <c r="I561" s="2" t="str">
        <f>_xlfn.XLOOKUP(E561, Product_Master!A:A, Product_Master!C:C)</f>
        <v>Electronics</v>
      </c>
      <c r="J561" s="2">
        <f>_xlfn.XLOOKUP(E561, Product_Master!A:A, Product_Master!D:D)</f>
        <v>2000</v>
      </c>
      <c r="K561" s="2">
        <f t="shared" si="32"/>
        <v>8952</v>
      </c>
      <c r="L561" s="2">
        <f t="shared" si="33"/>
        <v>8000</v>
      </c>
      <c r="M561" s="2">
        <f t="shared" si="34"/>
        <v>952</v>
      </c>
      <c r="N561" s="2">
        <f>_xlfn.XLOOKUP(D561, Sales_Rep_Master!A:A, Sales_Rep_Master!B:B)</f>
        <v>950000</v>
      </c>
      <c r="O561" s="4">
        <f t="shared" si="35"/>
        <v>9.4231578947368416E-3</v>
      </c>
    </row>
    <row r="562" spans="1:15" ht="15.75" hidden="1" x14ac:dyDescent="0.25">
      <c r="A562" s="3" t="s">
        <v>874</v>
      </c>
      <c r="B562" s="2" t="s">
        <v>44</v>
      </c>
      <c r="C562" s="2" t="s">
        <v>9</v>
      </c>
      <c r="D562" s="2" t="s">
        <v>51</v>
      </c>
      <c r="E562" s="2" t="s">
        <v>34</v>
      </c>
      <c r="F562" s="2">
        <v>14</v>
      </c>
      <c r="G562" s="2">
        <v>7727</v>
      </c>
      <c r="H562" s="2" t="str">
        <f>_xlfn.XLOOKUP(E562, Product_Master!A:A, Product_Master!B:B)</f>
        <v>Jacket</v>
      </c>
      <c r="I562" s="2" t="str">
        <f>_xlfn.XLOOKUP(E562, Product_Master!A:A, Product_Master!C:C)</f>
        <v>Clothing</v>
      </c>
      <c r="J562" s="2">
        <f>_xlfn.XLOOKUP(E562, Product_Master!A:A, Product_Master!D:D)</f>
        <v>1500</v>
      </c>
      <c r="K562" s="2">
        <f t="shared" si="32"/>
        <v>108178</v>
      </c>
      <c r="L562" s="2">
        <f t="shared" si="33"/>
        <v>21000</v>
      </c>
      <c r="M562" s="2">
        <f t="shared" si="34"/>
        <v>87178</v>
      </c>
      <c r="N562" s="2">
        <f>_xlfn.XLOOKUP(D562, Sales_Rep_Master!A:A, Sales_Rep_Master!B:B)</f>
        <v>900000</v>
      </c>
      <c r="O562" s="4">
        <f t="shared" si="35"/>
        <v>0.12019777777777778</v>
      </c>
    </row>
    <row r="563" spans="1:15" ht="15.75" x14ac:dyDescent="0.25">
      <c r="A563" s="3" t="s">
        <v>875</v>
      </c>
      <c r="B563" s="2" t="s">
        <v>731</v>
      </c>
      <c r="C563" s="2" t="s">
        <v>33</v>
      </c>
      <c r="D563" s="2" t="s">
        <v>54</v>
      </c>
      <c r="E563" s="2" t="s">
        <v>28</v>
      </c>
      <c r="F563" s="2">
        <v>11</v>
      </c>
      <c r="G563" s="2">
        <v>6455</v>
      </c>
      <c r="H563" s="2" t="str">
        <f>_xlfn.XLOOKUP(E563, Product_Master!A:A, Product_Master!B:B)</f>
        <v>Laptop</v>
      </c>
      <c r="I563" s="2" t="str">
        <f>_xlfn.XLOOKUP(E563, Product_Master!A:A, Product_Master!C:C)</f>
        <v>Electronics</v>
      </c>
      <c r="J563" s="2">
        <f>_xlfn.XLOOKUP(E563, Product_Master!A:A, Product_Master!D:D)</f>
        <v>35000</v>
      </c>
      <c r="K563" s="2">
        <f t="shared" si="32"/>
        <v>71005</v>
      </c>
      <c r="L563" s="2">
        <f t="shared" si="33"/>
        <v>385000</v>
      </c>
      <c r="M563" s="2">
        <f t="shared" si="34"/>
        <v>-313995</v>
      </c>
      <c r="N563" s="2">
        <f>_xlfn.XLOOKUP(D563, Sales_Rep_Master!A:A, Sales_Rep_Master!B:B)</f>
        <v>890000</v>
      </c>
      <c r="O563" s="4">
        <f t="shared" si="35"/>
        <v>7.9780898876404494E-2</v>
      </c>
    </row>
    <row r="564" spans="1:15" ht="15.75" hidden="1" x14ac:dyDescent="0.25">
      <c r="A564" s="3" t="s">
        <v>876</v>
      </c>
      <c r="B564" s="2" t="s">
        <v>117</v>
      </c>
      <c r="C564" s="2" t="s">
        <v>9</v>
      </c>
      <c r="D564" s="2" t="s">
        <v>152</v>
      </c>
      <c r="E564" s="2" t="s">
        <v>15</v>
      </c>
      <c r="F564" s="2">
        <v>8</v>
      </c>
      <c r="G564" s="2">
        <v>6359</v>
      </c>
      <c r="H564" s="2" t="str">
        <f>_xlfn.XLOOKUP(E564, Product_Master!A:A, Product_Master!B:B)</f>
        <v>Chair</v>
      </c>
      <c r="I564" s="2" t="str">
        <f>_xlfn.XLOOKUP(E564, Product_Master!A:A, Product_Master!C:C)</f>
        <v>Furniture</v>
      </c>
      <c r="J564" s="2">
        <f>_xlfn.XLOOKUP(E564, Product_Master!A:A, Product_Master!D:D)</f>
        <v>2500</v>
      </c>
      <c r="K564" s="2">
        <f t="shared" si="32"/>
        <v>50872</v>
      </c>
      <c r="L564" s="2">
        <f t="shared" si="33"/>
        <v>20000</v>
      </c>
      <c r="M564" s="2">
        <f t="shared" si="34"/>
        <v>30872</v>
      </c>
      <c r="N564" s="2">
        <f>_xlfn.XLOOKUP(D564, Sales_Rep_Master!A:A, Sales_Rep_Master!B:B)</f>
        <v>870000</v>
      </c>
      <c r="O564" s="4">
        <f t="shared" si="35"/>
        <v>5.8473563218390805E-2</v>
      </c>
    </row>
    <row r="565" spans="1:15" ht="15.75" hidden="1" x14ac:dyDescent="0.25">
      <c r="A565" s="3" t="s">
        <v>877</v>
      </c>
      <c r="B565" s="2" t="s">
        <v>858</v>
      </c>
      <c r="C565" s="2" t="s">
        <v>9</v>
      </c>
      <c r="D565" s="2" t="s">
        <v>10</v>
      </c>
      <c r="E565" s="2" t="s">
        <v>61</v>
      </c>
      <c r="F565" s="2">
        <v>15</v>
      </c>
      <c r="G565" s="2">
        <v>6050</v>
      </c>
      <c r="H565" s="2" t="str">
        <f>_xlfn.XLOOKUP(E565, Product_Master!A:A, Product_Master!B:B)</f>
        <v>Shoes</v>
      </c>
      <c r="I565" s="2" t="str">
        <f>_xlfn.XLOOKUP(E565, Product_Master!A:A, Product_Master!C:C)</f>
        <v>Clothing</v>
      </c>
      <c r="J565" s="2">
        <f>_xlfn.XLOOKUP(E565, Product_Master!A:A, Product_Master!D:D)</f>
        <v>2000</v>
      </c>
      <c r="K565" s="2">
        <f t="shared" si="32"/>
        <v>90750</v>
      </c>
      <c r="L565" s="2">
        <f t="shared" si="33"/>
        <v>30000</v>
      </c>
      <c r="M565" s="2">
        <f t="shared" si="34"/>
        <v>60750</v>
      </c>
      <c r="N565" s="2">
        <f>_xlfn.XLOOKUP(D565, Sales_Rep_Master!A:A, Sales_Rep_Master!B:B)</f>
        <v>920000</v>
      </c>
      <c r="O565" s="4">
        <f t="shared" si="35"/>
        <v>9.8641304347826086E-2</v>
      </c>
    </row>
    <row r="566" spans="1:15" ht="15.75" hidden="1" x14ac:dyDescent="0.25">
      <c r="A566" s="3" t="s">
        <v>878</v>
      </c>
      <c r="B566" s="2" t="s">
        <v>368</v>
      </c>
      <c r="C566" s="2" t="s">
        <v>18</v>
      </c>
      <c r="D566" s="2" t="s">
        <v>10</v>
      </c>
      <c r="E566" s="2" t="s">
        <v>40</v>
      </c>
      <c r="F566" s="2">
        <v>7</v>
      </c>
      <c r="G566" s="2">
        <v>1270</v>
      </c>
      <c r="H566" s="2" t="str">
        <f>_xlfn.XLOOKUP(E566, Product_Master!A:A, Product_Master!B:B)</f>
        <v>Table</v>
      </c>
      <c r="I566" s="2" t="str">
        <f>_xlfn.XLOOKUP(E566, Product_Master!A:A, Product_Master!C:C)</f>
        <v>Furniture</v>
      </c>
      <c r="J566" s="2">
        <f>_xlfn.XLOOKUP(E566, Product_Master!A:A, Product_Master!D:D)</f>
        <v>7000</v>
      </c>
      <c r="K566" s="2">
        <f t="shared" si="32"/>
        <v>8890</v>
      </c>
      <c r="L566" s="2">
        <f t="shared" si="33"/>
        <v>49000</v>
      </c>
      <c r="M566" s="2">
        <f t="shared" si="34"/>
        <v>-40110</v>
      </c>
      <c r="N566" s="2">
        <f>_xlfn.XLOOKUP(D566, Sales_Rep_Master!A:A, Sales_Rep_Master!B:B)</f>
        <v>920000</v>
      </c>
      <c r="O566" s="4">
        <f t="shared" si="35"/>
        <v>9.6630434782608698E-3</v>
      </c>
    </row>
    <row r="567" spans="1:15" ht="15.75" x14ac:dyDescent="0.25">
      <c r="A567" s="3" t="s">
        <v>879</v>
      </c>
      <c r="B567" s="2" t="s">
        <v>880</v>
      </c>
      <c r="C567" s="2" t="s">
        <v>9</v>
      </c>
      <c r="D567" s="2" t="s">
        <v>54</v>
      </c>
      <c r="E567" s="2" t="s">
        <v>11</v>
      </c>
      <c r="F567" s="2">
        <v>6</v>
      </c>
      <c r="G567" s="2">
        <v>6906</v>
      </c>
      <c r="H567" s="2" t="str">
        <f>_xlfn.XLOOKUP(E567, Product_Master!A:A, Product_Master!B:B)</f>
        <v>Mobile</v>
      </c>
      <c r="I567" s="2" t="str">
        <f>_xlfn.XLOOKUP(E567, Product_Master!A:A, Product_Master!C:C)</f>
        <v>Electronics</v>
      </c>
      <c r="J567" s="2">
        <f>_xlfn.XLOOKUP(E567, Product_Master!A:A, Product_Master!D:D)</f>
        <v>18000</v>
      </c>
      <c r="K567" s="2">
        <f t="shared" si="32"/>
        <v>41436</v>
      </c>
      <c r="L567" s="2">
        <f t="shared" si="33"/>
        <v>108000</v>
      </c>
      <c r="M567" s="2">
        <f t="shared" si="34"/>
        <v>-66564</v>
      </c>
      <c r="N567" s="2">
        <f>_xlfn.XLOOKUP(D567, Sales_Rep_Master!A:A, Sales_Rep_Master!B:B)</f>
        <v>890000</v>
      </c>
      <c r="O567" s="4">
        <f t="shared" si="35"/>
        <v>4.6557303370786514E-2</v>
      </c>
    </row>
    <row r="568" spans="1:15" ht="15.75" hidden="1" x14ac:dyDescent="0.25">
      <c r="A568" s="3" t="s">
        <v>881</v>
      </c>
      <c r="B568" s="2" t="s">
        <v>182</v>
      </c>
      <c r="C568" s="2" t="s">
        <v>26</v>
      </c>
      <c r="D568" s="2" t="s">
        <v>14</v>
      </c>
      <c r="E568" s="2" t="s">
        <v>23</v>
      </c>
      <c r="F568" s="2">
        <v>5</v>
      </c>
      <c r="G568" s="2">
        <v>7475</v>
      </c>
      <c r="H568" s="2" t="str">
        <f>_xlfn.XLOOKUP(E568, Product_Master!A:A, Product_Master!B:B)</f>
        <v>Sofa</v>
      </c>
      <c r="I568" s="2" t="str">
        <f>_xlfn.XLOOKUP(E568, Product_Master!A:A, Product_Master!C:C)</f>
        <v>Furniture</v>
      </c>
      <c r="J568" s="2">
        <f>_xlfn.XLOOKUP(E568, Product_Master!A:A, Product_Master!D:D)</f>
        <v>15000</v>
      </c>
      <c r="K568" s="2">
        <f t="shared" si="32"/>
        <v>37375</v>
      </c>
      <c r="L568" s="2">
        <f t="shared" si="33"/>
        <v>75000</v>
      </c>
      <c r="M568" s="2">
        <f t="shared" si="34"/>
        <v>-37625</v>
      </c>
      <c r="N568" s="2">
        <f>_xlfn.XLOOKUP(D568, Sales_Rep_Master!A:A, Sales_Rep_Master!B:B)</f>
        <v>880000</v>
      </c>
      <c r="O568" s="4">
        <f t="shared" si="35"/>
        <v>4.247159090909091E-2</v>
      </c>
    </row>
    <row r="569" spans="1:15" ht="15.75" hidden="1" x14ac:dyDescent="0.25">
      <c r="A569" s="3" t="s">
        <v>882</v>
      </c>
      <c r="B569" s="2" t="s">
        <v>224</v>
      </c>
      <c r="C569" s="2" t="s">
        <v>33</v>
      </c>
      <c r="D569" s="2" t="s">
        <v>51</v>
      </c>
      <c r="E569" s="2" t="s">
        <v>61</v>
      </c>
      <c r="F569" s="2">
        <v>14</v>
      </c>
      <c r="G569" s="2">
        <v>886</v>
      </c>
      <c r="H569" s="2" t="str">
        <f>_xlfn.XLOOKUP(E569, Product_Master!A:A, Product_Master!B:B)</f>
        <v>Shoes</v>
      </c>
      <c r="I569" s="2" t="str">
        <f>_xlfn.XLOOKUP(E569, Product_Master!A:A, Product_Master!C:C)</f>
        <v>Clothing</v>
      </c>
      <c r="J569" s="2">
        <f>_xlfn.XLOOKUP(E569, Product_Master!A:A, Product_Master!D:D)</f>
        <v>2000</v>
      </c>
      <c r="K569" s="2">
        <f t="shared" si="32"/>
        <v>12404</v>
      </c>
      <c r="L569" s="2">
        <f t="shared" si="33"/>
        <v>28000</v>
      </c>
      <c r="M569" s="2">
        <f t="shared" si="34"/>
        <v>-15596</v>
      </c>
      <c r="N569" s="2">
        <f>_xlfn.XLOOKUP(D569, Sales_Rep_Master!A:A, Sales_Rep_Master!B:B)</f>
        <v>900000</v>
      </c>
      <c r="O569" s="4">
        <f t="shared" si="35"/>
        <v>1.3782222222222222E-2</v>
      </c>
    </row>
    <row r="570" spans="1:15" ht="15.75" hidden="1" x14ac:dyDescent="0.25">
      <c r="A570" s="3" t="s">
        <v>883</v>
      </c>
      <c r="B570" s="2" t="s">
        <v>479</v>
      </c>
      <c r="C570" s="2" t="s">
        <v>9</v>
      </c>
      <c r="D570" s="2" t="s">
        <v>152</v>
      </c>
      <c r="E570" s="2" t="s">
        <v>61</v>
      </c>
      <c r="F570" s="2">
        <v>15</v>
      </c>
      <c r="G570" s="2">
        <v>4905</v>
      </c>
      <c r="H570" s="2" t="str">
        <f>_xlfn.XLOOKUP(E570, Product_Master!A:A, Product_Master!B:B)</f>
        <v>Shoes</v>
      </c>
      <c r="I570" s="2" t="str">
        <f>_xlfn.XLOOKUP(E570, Product_Master!A:A, Product_Master!C:C)</f>
        <v>Clothing</v>
      </c>
      <c r="J570" s="2">
        <f>_xlfn.XLOOKUP(E570, Product_Master!A:A, Product_Master!D:D)</f>
        <v>2000</v>
      </c>
      <c r="K570" s="2">
        <f t="shared" si="32"/>
        <v>73575</v>
      </c>
      <c r="L570" s="2">
        <f t="shared" si="33"/>
        <v>30000</v>
      </c>
      <c r="M570" s="2">
        <f t="shared" si="34"/>
        <v>43575</v>
      </c>
      <c r="N570" s="2">
        <f>_xlfn.XLOOKUP(D570, Sales_Rep_Master!A:A, Sales_Rep_Master!B:B)</f>
        <v>870000</v>
      </c>
      <c r="O570" s="4">
        <f t="shared" si="35"/>
        <v>8.4568965517241385E-2</v>
      </c>
    </row>
    <row r="571" spans="1:15" ht="15.75" hidden="1" x14ac:dyDescent="0.25">
      <c r="A571" s="3" t="s">
        <v>884</v>
      </c>
      <c r="B571" s="2" t="s">
        <v>166</v>
      </c>
      <c r="C571" s="2" t="s">
        <v>33</v>
      </c>
      <c r="D571" s="2" t="s">
        <v>54</v>
      </c>
      <c r="E571" s="2" t="s">
        <v>40</v>
      </c>
      <c r="F571" s="2">
        <v>14</v>
      </c>
      <c r="G571" s="2">
        <v>1567</v>
      </c>
      <c r="H571" s="2" t="str">
        <f>_xlfn.XLOOKUP(E571, Product_Master!A:A, Product_Master!B:B)</f>
        <v>Table</v>
      </c>
      <c r="I571" s="2" t="str">
        <f>_xlfn.XLOOKUP(E571, Product_Master!A:A, Product_Master!C:C)</f>
        <v>Furniture</v>
      </c>
      <c r="J571" s="2">
        <f>_xlfn.XLOOKUP(E571, Product_Master!A:A, Product_Master!D:D)</f>
        <v>7000</v>
      </c>
      <c r="K571" s="2">
        <f t="shared" si="32"/>
        <v>21938</v>
      </c>
      <c r="L571" s="2">
        <f t="shared" si="33"/>
        <v>98000</v>
      </c>
      <c r="M571" s="2">
        <f t="shared" si="34"/>
        <v>-76062</v>
      </c>
      <c r="N571" s="2">
        <f>_xlfn.XLOOKUP(D571, Sales_Rep_Master!A:A, Sales_Rep_Master!B:B)</f>
        <v>890000</v>
      </c>
      <c r="O571" s="4">
        <f t="shared" si="35"/>
        <v>2.464943820224719E-2</v>
      </c>
    </row>
    <row r="572" spans="1:15" ht="15.75" hidden="1" x14ac:dyDescent="0.25">
      <c r="A572" s="3" t="s">
        <v>885</v>
      </c>
      <c r="B572" s="2" t="s">
        <v>32</v>
      </c>
      <c r="C572" s="2" t="s">
        <v>26</v>
      </c>
      <c r="D572" s="2" t="s">
        <v>54</v>
      </c>
      <c r="E572" s="2" t="s">
        <v>23</v>
      </c>
      <c r="F572" s="2">
        <v>15</v>
      </c>
      <c r="G572" s="2">
        <v>1563</v>
      </c>
      <c r="H572" s="2" t="str">
        <f>_xlfn.XLOOKUP(E572, Product_Master!A:A, Product_Master!B:B)</f>
        <v>Sofa</v>
      </c>
      <c r="I572" s="2" t="str">
        <f>_xlfn.XLOOKUP(E572, Product_Master!A:A, Product_Master!C:C)</f>
        <v>Furniture</v>
      </c>
      <c r="J572" s="2">
        <f>_xlfn.XLOOKUP(E572, Product_Master!A:A, Product_Master!D:D)</f>
        <v>15000</v>
      </c>
      <c r="K572" s="2">
        <f t="shared" si="32"/>
        <v>23445</v>
      </c>
      <c r="L572" s="2">
        <f t="shared" si="33"/>
        <v>225000</v>
      </c>
      <c r="M572" s="2">
        <f t="shared" si="34"/>
        <v>-201555</v>
      </c>
      <c r="N572" s="2">
        <f>_xlfn.XLOOKUP(D572, Sales_Rep_Master!A:A, Sales_Rep_Master!B:B)</f>
        <v>890000</v>
      </c>
      <c r="O572" s="4">
        <f t="shared" si="35"/>
        <v>2.6342696629213482E-2</v>
      </c>
    </row>
    <row r="573" spans="1:15" ht="15.75" x14ac:dyDescent="0.25">
      <c r="A573" s="3" t="s">
        <v>886</v>
      </c>
      <c r="B573" s="2" t="s">
        <v>224</v>
      </c>
      <c r="C573" s="2" t="s">
        <v>33</v>
      </c>
      <c r="D573" s="2" t="s">
        <v>152</v>
      </c>
      <c r="E573" s="2" t="s">
        <v>20</v>
      </c>
      <c r="F573" s="2">
        <v>3</v>
      </c>
      <c r="G573" s="2">
        <v>6046</v>
      </c>
      <c r="H573" s="2" t="str">
        <f>_xlfn.XLOOKUP(E573, Product_Master!A:A, Product_Master!B:B)</f>
        <v>Headphones</v>
      </c>
      <c r="I573" s="2" t="str">
        <f>_xlfn.XLOOKUP(E573, Product_Master!A:A, Product_Master!C:C)</f>
        <v>Electronics</v>
      </c>
      <c r="J573" s="2">
        <f>_xlfn.XLOOKUP(E573, Product_Master!A:A, Product_Master!D:D)</f>
        <v>2000</v>
      </c>
      <c r="K573" s="2">
        <f t="shared" si="32"/>
        <v>18138</v>
      </c>
      <c r="L573" s="2">
        <f t="shared" si="33"/>
        <v>6000</v>
      </c>
      <c r="M573" s="2">
        <f t="shared" si="34"/>
        <v>12138</v>
      </c>
      <c r="N573" s="2">
        <f>_xlfn.XLOOKUP(D573, Sales_Rep_Master!A:A, Sales_Rep_Master!B:B)</f>
        <v>870000</v>
      </c>
      <c r="O573" s="4">
        <f t="shared" si="35"/>
        <v>2.0848275862068964E-2</v>
      </c>
    </row>
    <row r="574" spans="1:15" ht="15.75" x14ac:dyDescent="0.25">
      <c r="A574" s="3" t="s">
        <v>887</v>
      </c>
      <c r="B574" s="2" t="s">
        <v>888</v>
      </c>
      <c r="C574" s="2" t="s">
        <v>26</v>
      </c>
      <c r="D574" s="2" t="s">
        <v>152</v>
      </c>
      <c r="E574" s="2" t="s">
        <v>20</v>
      </c>
      <c r="F574" s="2">
        <v>9</v>
      </c>
      <c r="G574" s="2">
        <v>3219</v>
      </c>
      <c r="H574" s="2" t="str">
        <f>_xlfn.XLOOKUP(E574, Product_Master!A:A, Product_Master!B:B)</f>
        <v>Headphones</v>
      </c>
      <c r="I574" s="2" t="str">
        <f>_xlfn.XLOOKUP(E574, Product_Master!A:A, Product_Master!C:C)</f>
        <v>Electronics</v>
      </c>
      <c r="J574" s="2">
        <f>_xlfn.XLOOKUP(E574, Product_Master!A:A, Product_Master!D:D)</f>
        <v>2000</v>
      </c>
      <c r="K574" s="2">
        <f t="shared" si="32"/>
        <v>28971</v>
      </c>
      <c r="L574" s="2">
        <f t="shared" si="33"/>
        <v>18000</v>
      </c>
      <c r="M574" s="2">
        <f t="shared" si="34"/>
        <v>10971</v>
      </c>
      <c r="N574" s="2">
        <f>_xlfn.XLOOKUP(D574, Sales_Rep_Master!A:A, Sales_Rep_Master!B:B)</f>
        <v>870000</v>
      </c>
      <c r="O574" s="4">
        <f t="shared" si="35"/>
        <v>3.3300000000000003E-2</v>
      </c>
    </row>
    <row r="575" spans="1:15" ht="15.75" x14ac:dyDescent="0.25">
      <c r="A575" s="3" t="s">
        <v>889</v>
      </c>
      <c r="B575" s="2" t="s">
        <v>325</v>
      </c>
      <c r="C575" s="2" t="s">
        <v>33</v>
      </c>
      <c r="D575" s="2" t="s">
        <v>19</v>
      </c>
      <c r="E575" s="2" t="s">
        <v>28</v>
      </c>
      <c r="F575" s="2">
        <v>7</v>
      </c>
      <c r="G575" s="2">
        <v>6985</v>
      </c>
      <c r="H575" s="2" t="str">
        <f>_xlfn.XLOOKUP(E575, Product_Master!A:A, Product_Master!B:B)</f>
        <v>Laptop</v>
      </c>
      <c r="I575" s="2" t="str">
        <f>_xlfn.XLOOKUP(E575, Product_Master!A:A, Product_Master!C:C)</f>
        <v>Electronics</v>
      </c>
      <c r="J575" s="2">
        <f>_xlfn.XLOOKUP(E575, Product_Master!A:A, Product_Master!D:D)</f>
        <v>35000</v>
      </c>
      <c r="K575" s="2">
        <f t="shared" si="32"/>
        <v>48895</v>
      </c>
      <c r="L575" s="2">
        <f t="shared" si="33"/>
        <v>245000</v>
      </c>
      <c r="M575" s="2">
        <f t="shared" si="34"/>
        <v>-196105</v>
      </c>
      <c r="N575" s="2">
        <f>_xlfn.XLOOKUP(D575, Sales_Rep_Master!A:A, Sales_Rep_Master!B:B)</f>
        <v>950000</v>
      </c>
      <c r="O575" s="4">
        <f t="shared" si="35"/>
        <v>5.146842105263158E-2</v>
      </c>
    </row>
    <row r="576" spans="1:15" ht="15.75" x14ac:dyDescent="0.25">
      <c r="A576" s="3" t="s">
        <v>890</v>
      </c>
      <c r="B576" s="2" t="s">
        <v>251</v>
      </c>
      <c r="C576" s="2" t="s">
        <v>26</v>
      </c>
      <c r="D576" s="2" t="s">
        <v>51</v>
      </c>
      <c r="E576" s="2" t="s">
        <v>11</v>
      </c>
      <c r="F576" s="2">
        <v>3</v>
      </c>
      <c r="G576" s="2">
        <v>2168</v>
      </c>
      <c r="H576" s="2" t="str">
        <f>_xlfn.XLOOKUP(E576, Product_Master!A:A, Product_Master!B:B)</f>
        <v>Mobile</v>
      </c>
      <c r="I576" s="2" t="str">
        <f>_xlfn.XLOOKUP(E576, Product_Master!A:A, Product_Master!C:C)</f>
        <v>Electronics</v>
      </c>
      <c r="J576" s="2">
        <f>_xlfn.XLOOKUP(E576, Product_Master!A:A, Product_Master!D:D)</f>
        <v>18000</v>
      </c>
      <c r="K576" s="2">
        <f t="shared" si="32"/>
        <v>6504</v>
      </c>
      <c r="L576" s="2">
        <f t="shared" si="33"/>
        <v>54000</v>
      </c>
      <c r="M576" s="2">
        <f t="shared" si="34"/>
        <v>-47496</v>
      </c>
      <c r="N576" s="2">
        <f>_xlfn.XLOOKUP(D576, Sales_Rep_Master!A:A, Sales_Rep_Master!B:B)</f>
        <v>900000</v>
      </c>
      <c r="O576" s="4">
        <f t="shared" si="35"/>
        <v>7.2266666666666668E-3</v>
      </c>
    </row>
    <row r="577" spans="1:15" ht="15.75" x14ac:dyDescent="0.25">
      <c r="A577" s="3" t="s">
        <v>891</v>
      </c>
      <c r="B577" s="2" t="s">
        <v>199</v>
      </c>
      <c r="C577" s="2" t="s">
        <v>33</v>
      </c>
      <c r="D577" s="2" t="s">
        <v>27</v>
      </c>
      <c r="E577" s="2" t="s">
        <v>20</v>
      </c>
      <c r="F577" s="2">
        <v>1</v>
      </c>
      <c r="G577" s="2">
        <v>1934</v>
      </c>
      <c r="H577" s="2" t="str">
        <f>_xlfn.XLOOKUP(E577, Product_Master!A:A, Product_Master!B:B)</f>
        <v>Headphones</v>
      </c>
      <c r="I577" s="2" t="str">
        <f>_xlfn.XLOOKUP(E577, Product_Master!A:A, Product_Master!C:C)</f>
        <v>Electronics</v>
      </c>
      <c r="J577" s="2">
        <f>_xlfn.XLOOKUP(E577, Product_Master!A:A, Product_Master!D:D)</f>
        <v>2000</v>
      </c>
      <c r="K577" s="2">
        <f t="shared" si="32"/>
        <v>1934</v>
      </c>
      <c r="L577" s="2">
        <f t="shared" si="33"/>
        <v>2000</v>
      </c>
      <c r="M577" s="2">
        <f t="shared" si="34"/>
        <v>-66</v>
      </c>
      <c r="N577" s="2">
        <f>_xlfn.XLOOKUP(D577, Sales_Rep_Master!A:A, Sales_Rep_Master!B:B)</f>
        <v>800000</v>
      </c>
      <c r="O577" s="4">
        <f t="shared" si="35"/>
        <v>2.4174999999999999E-3</v>
      </c>
    </row>
    <row r="578" spans="1:15" ht="15.75" x14ac:dyDescent="0.25">
      <c r="A578" s="3" t="s">
        <v>892</v>
      </c>
      <c r="B578" s="2" t="s">
        <v>175</v>
      </c>
      <c r="C578" s="2" t="s">
        <v>26</v>
      </c>
      <c r="D578" s="2" t="s">
        <v>54</v>
      </c>
      <c r="E578" s="2" t="s">
        <v>20</v>
      </c>
      <c r="F578" s="2">
        <v>2</v>
      </c>
      <c r="G578" s="2">
        <v>822</v>
      </c>
      <c r="H578" s="2" t="str">
        <f>_xlfn.XLOOKUP(E578, Product_Master!A:A, Product_Master!B:B)</f>
        <v>Headphones</v>
      </c>
      <c r="I578" s="2" t="str">
        <f>_xlfn.XLOOKUP(E578, Product_Master!A:A, Product_Master!C:C)</f>
        <v>Electronics</v>
      </c>
      <c r="J578" s="2">
        <f>_xlfn.XLOOKUP(E578, Product_Master!A:A, Product_Master!D:D)</f>
        <v>2000</v>
      </c>
      <c r="K578" s="2">
        <f t="shared" ref="K578:K641" si="36">F578*G578</f>
        <v>1644</v>
      </c>
      <c r="L578" s="2">
        <f t="shared" ref="L578:L641" si="37">F578*J578</f>
        <v>4000</v>
      </c>
      <c r="M578" s="2">
        <f t="shared" ref="M578:M641" si="38">K578-L578</f>
        <v>-2356</v>
      </c>
      <c r="N578" s="2">
        <f>_xlfn.XLOOKUP(D578, Sales_Rep_Master!A:A, Sales_Rep_Master!B:B)</f>
        <v>890000</v>
      </c>
      <c r="O578" s="4">
        <f t="shared" ref="O578:O641" si="39">K578/N578</f>
        <v>1.8471910112359551E-3</v>
      </c>
    </row>
    <row r="579" spans="1:15" ht="15.75" hidden="1" x14ac:dyDescent="0.25">
      <c r="A579" s="3" t="s">
        <v>893</v>
      </c>
      <c r="B579" s="2" t="s">
        <v>505</v>
      </c>
      <c r="C579" s="2" t="s">
        <v>33</v>
      </c>
      <c r="D579" s="2" t="s">
        <v>14</v>
      </c>
      <c r="E579" s="2" t="s">
        <v>34</v>
      </c>
      <c r="F579" s="2">
        <v>10</v>
      </c>
      <c r="G579" s="2">
        <v>826</v>
      </c>
      <c r="H579" s="2" t="str">
        <f>_xlfn.XLOOKUP(E579, Product_Master!A:A, Product_Master!B:B)</f>
        <v>Jacket</v>
      </c>
      <c r="I579" s="2" t="str">
        <f>_xlfn.XLOOKUP(E579, Product_Master!A:A, Product_Master!C:C)</f>
        <v>Clothing</v>
      </c>
      <c r="J579" s="2">
        <f>_xlfn.XLOOKUP(E579, Product_Master!A:A, Product_Master!D:D)</f>
        <v>1500</v>
      </c>
      <c r="K579" s="2">
        <f t="shared" si="36"/>
        <v>8260</v>
      </c>
      <c r="L579" s="2">
        <f t="shared" si="37"/>
        <v>15000</v>
      </c>
      <c r="M579" s="2">
        <f t="shared" si="38"/>
        <v>-6740</v>
      </c>
      <c r="N579" s="2">
        <f>_xlfn.XLOOKUP(D579, Sales_Rep_Master!A:A, Sales_Rep_Master!B:B)</f>
        <v>880000</v>
      </c>
      <c r="O579" s="4">
        <f t="shared" si="39"/>
        <v>9.3863636363636371E-3</v>
      </c>
    </row>
    <row r="580" spans="1:15" ht="15.75" x14ac:dyDescent="0.25">
      <c r="A580" s="3" t="s">
        <v>894</v>
      </c>
      <c r="B580" s="2" t="s">
        <v>410</v>
      </c>
      <c r="C580" s="2" t="s">
        <v>18</v>
      </c>
      <c r="D580" s="2" t="s">
        <v>19</v>
      </c>
      <c r="E580" s="2" t="s">
        <v>20</v>
      </c>
      <c r="F580" s="2">
        <v>14</v>
      </c>
      <c r="G580" s="2">
        <v>1552</v>
      </c>
      <c r="H580" s="2" t="str">
        <f>_xlfn.XLOOKUP(E580, Product_Master!A:A, Product_Master!B:B)</f>
        <v>Headphones</v>
      </c>
      <c r="I580" s="2" t="str">
        <f>_xlfn.XLOOKUP(E580, Product_Master!A:A, Product_Master!C:C)</f>
        <v>Electronics</v>
      </c>
      <c r="J580" s="2">
        <f>_xlfn.XLOOKUP(E580, Product_Master!A:A, Product_Master!D:D)</f>
        <v>2000</v>
      </c>
      <c r="K580" s="2">
        <f t="shared" si="36"/>
        <v>21728</v>
      </c>
      <c r="L580" s="2">
        <f t="shared" si="37"/>
        <v>28000</v>
      </c>
      <c r="M580" s="2">
        <f t="shared" si="38"/>
        <v>-6272</v>
      </c>
      <c r="N580" s="2">
        <f>_xlfn.XLOOKUP(D580, Sales_Rep_Master!A:A, Sales_Rep_Master!B:B)</f>
        <v>950000</v>
      </c>
      <c r="O580" s="4">
        <f t="shared" si="39"/>
        <v>2.287157894736842E-2</v>
      </c>
    </row>
    <row r="581" spans="1:15" ht="15.75" x14ac:dyDescent="0.25">
      <c r="A581" s="3" t="s">
        <v>895</v>
      </c>
      <c r="B581" s="2" t="s">
        <v>207</v>
      </c>
      <c r="C581" s="2" t="s">
        <v>26</v>
      </c>
      <c r="D581" s="2" t="s">
        <v>152</v>
      </c>
      <c r="E581" s="2" t="s">
        <v>28</v>
      </c>
      <c r="F581" s="2">
        <v>11</v>
      </c>
      <c r="G581" s="2">
        <v>6428</v>
      </c>
      <c r="H581" s="2" t="str">
        <f>_xlfn.XLOOKUP(E581, Product_Master!A:A, Product_Master!B:B)</f>
        <v>Laptop</v>
      </c>
      <c r="I581" s="2" t="str">
        <f>_xlfn.XLOOKUP(E581, Product_Master!A:A, Product_Master!C:C)</f>
        <v>Electronics</v>
      </c>
      <c r="J581" s="2">
        <f>_xlfn.XLOOKUP(E581, Product_Master!A:A, Product_Master!D:D)</f>
        <v>35000</v>
      </c>
      <c r="K581" s="2">
        <f t="shared" si="36"/>
        <v>70708</v>
      </c>
      <c r="L581" s="2">
        <f t="shared" si="37"/>
        <v>385000</v>
      </c>
      <c r="M581" s="2">
        <f t="shared" si="38"/>
        <v>-314292</v>
      </c>
      <c r="N581" s="2">
        <f>_xlfn.XLOOKUP(D581, Sales_Rep_Master!A:A, Sales_Rep_Master!B:B)</f>
        <v>870000</v>
      </c>
      <c r="O581" s="4">
        <f t="shared" si="39"/>
        <v>8.1273563218390799E-2</v>
      </c>
    </row>
    <row r="582" spans="1:15" ht="15.75" hidden="1" x14ac:dyDescent="0.25">
      <c r="A582" s="3" t="s">
        <v>896</v>
      </c>
      <c r="B582" s="2" t="s">
        <v>25</v>
      </c>
      <c r="C582" s="2" t="s">
        <v>18</v>
      </c>
      <c r="D582" s="2" t="s">
        <v>19</v>
      </c>
      <c r="E582" s="2" t="s">
        <v>15</v>
      </c>
      <c r="F582" s="2">
        <v>5</v>
      </c>
      <c r="G582" s="2">
        <v>6837</v>
      </c>
      <c r="H582" s="2" t="str">
        <f>_xlfn.XLOOKUP(E582, Product_Master!A:A, Product_Master!B:B)</f>
        <v>Chair</v>
      </c>
      <c r="I582" s="2" t="str">
        <f>_xlfn.XLOOKUP(E582, Product_Master!A:A, Product_Master!C:C)</f>
        <v>Furniture</v>
      </c>
      <c r="J582" s="2">
        <f>_xlfn.XLOOKUP(E582, Product_Master!A:A, Product_Master!D:D)</f>
        <v>2500</v>
      </c>
      <c r="K582" s="2">
        <f t="shared" si="36"/>
        <v>34185</v>
      </c>
      <c r="L582" s="2">
        <f t="shared" si="37"/>
        <v>12500</v>
      </c>
      <c r="M582" s="2">
        <f t="shared" si="38"/>
        <v>21685</v>
      </c>
      <c r="N582" s="2">
        <f>_xlfn.XLOOKUP(D582, Sales_Rep_Master!A:A, Sales_Rep_Master!B:B)</f>
        <v>950000</v>
      </c>
      <c r="O582" s="4">
        <f t="shared" si="39"/>
        <v>3.5984210526315792E-2</v>
      </c>
    </row>
    <row r="583" spans="1:15" ht="15.75" hidden="1" x14ac:dyDescent="0.25">
      <c r="A583" s="3" t="s">
        <v>897</v>
      </c>
      <c r="B583" s="2" t="s">
        <v>455</v>
      </c>
      <c r="C583" s="2" t="s">
        <v>18</v>
      </c>
      <c r="D583" s="2" t="s">
        <v>51</v>
      </c>
      <c r="E583" s="2" t="s">
        <v>23</v>
      </c>
      <c r="F583" s="2">
        <v>13</v>
      </c>
      <c r="G583" s="2">
        <v>4997</v>
      </c>
      <c r="H583" s="2" t="str">
        <f>_xlfn.XLOOKUP(E583, Product_Master!A:A, Product_Master!B:B)</f>
        <v>Sofa</v>
      </c>
      <c r="I583" s="2" t="str">
        <f>_xlfn.XLOOKUP(E583, Product_Master!A:A, Product_Master!C:C)</f>
        <v>Furniture</v>
      </c>
      <c r="J583" s="2">
        <f>_xlfn.XLOOKUP(E583, Product_Master!A:A, Product_Master!D:D)</f>
        <v>15000</v>
      </c>
      <c r="K583" s="2">
        <f t="shared" si="36"/>
        <v>64961</v>
      </c>
      <c r="L583" s="2">
        <f t="shared" si="37"/>
        <v>195000</v>
      </c>
      <c r="M583" s="2">
        <f t="shared" si="38"/>
        <v>-130039</v>
      </c>
      <c r="N583" s="2">
        <f>_xlfn.XLOOKUP(D583, Sales_Rep_Master!A:A, Sales_Rep_Master!B:B)</f>
        <v>900000</v>
      </c>
      <c r="O583" s="4">
        <f t="shared" si="39"/>
        <v>7.217888888888889E-2</v>
      </c>
    </row>
    <row r="584" spans="1:15" ht="15.75" x14ac:dyDescent="0.25">
      <c r="A584" s="3" t="s">
        <v>898</v>
      </c>
      <c r="B584" s="2" t="s">
        <v>166</v>
      </c>
      <c r="C584" s="2" t="s">
        <v>9</v>
      </c>
      <c r="D584" s="2" t="s">
        <v>14</v>
      </c>
      <c r="E584" s="2" t="s">
        <v>20</v>
      </c>
      <c r="F584" s="2">
        <v>3</v>
      </c>
      <c r="G584" s="2">
        <v>7650</v>
      </c>
      <c r="H584" s="2" t="str">
        <f>_xlfn.XLOOKUP(E584, Product_Master!A:A, Product_Master!B:B)</f>
        <v>Headphones</v>
      </c>
      <c r="I584" s="2" t="str">
        <f>_xlfn.XLOOKUP(E584, Product_Master!A:A, Product_Master!C:C)</f>
        <v>Electronics</v>
      </c>
      <c r="J584" s="2">
        <f>_xlfn.XLOOKUP(E584, Product_Master!A:A, Product_Master!D:D)</f>
        <v>2000</v>
      </c>
      <c r="K584" s="2">
        <f t="shared" si="36"/>
        <v>22950</v>
      </c>
      <c r="L584" s="2">
        <f t="shared" si="37"/>
        <v>6000</v>
      </c>
      <c r="M584" s="2">
        <f t="shared" si="38"/>
        <v>16950</v>
      </c>
      <c r="N584" s="2">
        <f>_xlfn.XLOOKUP(D584, Sales_Rep_Master!A:A, Sales_Rep_Master!B:B)</f>
        <v>880000</v>
      </c>
      <c r="O584" s="4">
        <f t="shared" si="39"/>
        <v>2.6079545454545456E-2</v>
      </c>
    </row>
    <row r="585" spans="1:15" ht="15.75" x14ac:dyDescent="0.25">
      <c r="A585" s="3" t="s">
        <v>899</v>
      </c>
      <c r="B585" s="2" t="s">
        <v>359</v>
      </c>
      <c r="C585" s="2" t="s">
        <v>26</v>
      </c>
      <c r="D585" s="2" t="s">
        <v>51</v>
      </c>
      <c r="E585" s="2" t="s">
        <v>20</v>
      </c>
      <c r="F585" s="2">
        <v>11</v>
      </c>
      <c r="G585" s="2">
        <v>1085</v>
      </c>
      <c r="H585" s="2" t="str">
        <f>_xlfn.XLOOKUP(E585, Product_Master!A:A, Product_Master!B:B)</f>
        <v>Headphones</v>
      </c>
      <c r="I585" s="2" t="str">
        <f>_xlfn.XLOOKUP(E585, Product_Master!A:A, Product_Master!C:C)</f>
        <v>Electronics</v>
      </c>
      <c r="J585" s="2">
        <f>_xlfn.XLOOKUP(E585, Product_Master!A:A, Product_Master!D:D)</f>
        <v>2000</v>
      </c>
      <c r="K585" s="2">
        <f t="shared" si="36"/>
        <v>11935</v>
      </c>
      <c r="L585" s="2">
        <f t="shared" si="37"/>
        <v>22000</v>
      </c>
      <c r="M585" s="2">
        <f t="shared" si="38"/>
        <v>-10065</v>
      </c>
      <c r="N585" s="2">
        <f>_xlfn.XLOOKUP(D585, Sales_Rep_Master!A:A, Sales_Rep_Master!B:B)</f>
        <v>900000</v>
      </c>
      <c r="O585" s="4">
        <f t="shared" si="39"/>
        <v>1.3261111111111111E-2</v>
      </c>
    </row>
    <row r="586" spans="1:15" ht="15.75" hidden="1" x14ac:dyDescent="0.25">
      <c r="A586" s="3" t="s">
        <v>900</v>
      </c>
      <c r="B586" s="2" t="s">
        <v>596</v>
      </c>
      <c r="C586" s="2" t="s">
        <v>26</v>
      </c>
      <c r="D586" s="2" t="s">
        <v>27</v>
      </c>
      <c r="E586" s="2" t="s">
        <v>15</v>
      </c>
      <c r="F586" s="2">
        <v>14</v>
      </c>
      <c r="G586" s="2">
        <v>5649</v>
      </c>
      <c r="H586" s="2" t="str">
        <f>_xlfn.XLOOKUP(E586, Product_Master!A:A, Product_Master!B:B)</f>
        <v>Chair</v>
      </c>
      <c r="I586" s="2" t="str">
        <f>_xlfn.XLOOKUP(E586, Product_Master!A:A, Product_Master!C:C)</f>
        <v>Furniture</v>
      </c>
      <c r="J586" s="2">
        <f>_xlfn.XLOOKUP(E586, Product_Master!A:A, Product_Master!D:D)</f>
        <v>2500</v>
      </c>
      <c r="K586" s="2">
        <f t="shared" si="36"/>
        <v>79086</v>
      </c>
      <c r="L586" s="2">
        <f t="shared" si="37"/>
        <v>35000</v>
      </c>
      <c r="M586" s="2">
        <f t="shared" si="38"/>
        <v>44086</v>
      </c>
      <c r="N586" s="2">
        <f>_xlfn.XLOOKUP(D586, Sales_Rep_Master!A:A, Sales_Rep_Master!B:B)</f>
        <v>800000</v>
      </c>
      <c r="O586" s="4">
        <f t="shared" si="39"/>
        <v>9.8857500000000001E-2</v>
      </c>
    </row>
    <row r="587" spans="1:15" ht="15.75" hidden="1" x14ac:dyDescent="0.25">
      <c r="A587" s="3" t="s">
        <v>901</v>
      </c>
      <c r="B587" s="2" t="s">
        <v>187</v>
      </c>
      <c r="C587" s="2" t="s">
        <v>26</v>
      </c>
      <c r="D587" s="2" t="s">
        <v>152</v>
      </c>
      <c r="E587" s="2" t="s">
        <v>23</v>
      </c>
      <c r="F587" s="2">
        <v>10</v>
      </c>
      <c r="G587" s="2">
        <v>5285</v>
      </c>
      <c r="H587" s="2" t="str">
        <f>_xlfn.XLOOKUP(E587, Product_Master!A:A, Product_Master!B:B)</f>
        <v>Sofa</v>
      </c>
      <c r="I587" s="2" t="str">
        <f>_xlfn.XLOOKUP(E587, Product_Master!A:A, Product_Master!C:C)</f>
        <v>Furniture</v>
      </c>
      <c r="J587" s="2">
        <f>_xlfn.XLOOKUP(E587, Product_Master!A:A, Product_Master!D:D)</f>
        <v>15000</v>
      </c>
      <c r="K587" s="2">
        <f t="shared" si="36"/>
        <v>52850</v>
      </c>
      <c r="L587" s="2">
        <f t="shared" si="37"/>
        <v>150000</v>
      </c>
      <c r="M587" s="2">
        <f t="shared" si="38"/>
        <v>-97150</v>
      </c>
      <c r="N587" s="2">
        <f>_xlfn.XLOOKUP(D587, Sales_Rep_Master!A:A, Sales_Rep_Master!B:B)</f>
        <v>870000</v>
      </c>
      <c r="O587" s="4">
        <f t="shared" si="39"/>
        <v>6.0747126436781609E-2</v>
      </c>
    </row>
    <row r="588" spans="1:15" ht="15.75" hidden="1" x14ac:dyDescent="0.25">
      <c r="A588" s="3" t="s">
        <v>902</v>
      </c>
      <c r="B588" s="2" t="s">
        <v>794</v>
      </c>
      <c r="C588" s="2" t="s">
        <v>9</v>
      </c>
      <c r="D588" s="2" t="s">
        <v>51</v>
      </c>
      <c r="E588" s="2" t="s">
        <v>40</v>
      </c>
      <c r="F588" s="2">
        <v>4</v>
      </c>
      <c r="G588" s="2">
        <v>5498</v>
      </c>
      <c r="H588" s="2" t="str">
        <f>_xlfn.XLOOKUP(E588, Product_Master!A:A, Product_Master!B:B)</f>
        <v>Table</v>
      </c>
      <c r="I588" s="2" t="str">
        <f>_xlfn.XLOOKUP(E588, Product_Master!A:A, Product_Master!C:C)</f>
        <v>Furniture</v>
      </c>
      <c r="J588" s="2">
        <f>_xlfn.XLOOKUP(E588, Product_Master!A:A, Product_Master!D:D)</f>
        <v>7000</v>
      </c>
      <c r="K588" s="2">
        <f t="shared" si="36"/>
        <v>21992</v>
      </c>
      <c r="L588" s="2">
        <f t="shared" si="37"/>
        <v>28000</v>
      </c>
      <c r="M588" s="2">
        <f t="shared" si="38"/>
        <v>-6008</v>
      </c>
      <c r="N588" s="2">
        <f>_xlfn.XLOOKUP(D588, Sales_Rep_Master!A:A, Sales_Rep_Master!B:B)</f>
        <v>900000</v>
      </c>
      <c r="O588" s="4">
        <f t="shared" si="39"/>
        <v>2.4435555555555554E-2</v>
      </c>
    </row>
    <row r="589" spans="1:15" ht="15.75" hidden="1" x14ac:dyDescent="0.25">
      <c r="A589" s="3" t="s">
        <v>903</v>
      </c>
      <c r="B589" s="2" t="s">
        <v>904</v>
      </c>
      <c r="C589" s="2" t="s">
        <v>9</v>
      </c>
      <c r="D589" s="2" t="s">
        <v>10</v>
      </c>
      <c r="E589" s="2" t="s">
        <v>15</v>
      </c>
      <c r="F589" s="2">
        <v>4</v>
      </c>
      <c r="G589" s="2">
        <v>2155</v>
      </c>
      <c r="H589" s="2" t="str">
        <f>_xlfn.XLOOKUP(E589, Product_Master!A:A, Product_Master!B:B)</f>
        <v>Chair</v>
      </c>
      <c r="I589" s="2" t="str">
        <f>_xlfn.XLOOKUP(E589, Product_Master!A:A, Product_Master!C:C)</f>
        <v>Furniture</v>
      </c>
      <c r="J589" s="2">
        <f>_xlfn.XLOOKUP(E589, Product_Master!A:A, Product_Master!D:D)</f>
        <v>2500</v>
      </c>
      <c r="K589" s="2">
        <f t="shared" si="36"/>
        <v>8620</v>
      </c>
      <c r="L589" s="2">
        <f t="shared" si="37"/>
        <v>10000</v>
      </c>
      <c r="M589" s="2">
        <f t="shared" si="38"/>
        <v>-1380</v>
      </c>
      <c r="N589" s="2">
        <f>_xlfn.XLOOKUP(D589, Sales_Rep_Master!A:A, Sales_Rep_Master!B:B)</f>
        <v>920000</v>
      </c>
      <c r="O589" s="4">
        <f t="shared" si="39"/>
        <v>9.3695652173913044E-3</v>
      </c>
    </row>
    <row r="590" spans="1:15" ht="15.75" x14ac:dyDescent="0.25">
      <c r="A590" s="3" t="s">
        <v>905</v>
      </c>
      <c r="B590" s="2" t="s">
        <v>561</v>
      </c>
      <c r="C590" s="2" t="s">
        <v>26</v>
      </c>
      <c r="D590" s="2" t="s">
        <v>54</v>
      </c>
      <c r="E590" s="2" t="s">
        <v>11</v>
      </c>
      <c r="F590" s="2">
        <v>15</v>
      </c>
      <c r="G590" s="2">
        <v>1425</v>
      </c>
      <c r="H590" s="2" t="str">
        <f>_xlfn.XLOOKUP(E590, Product_Master!A:A, Product_Master!B:B)</f>
        <v>Mobile</v>
      </c>
      <c r="I590" s="2" t="str">
        <f>_xlfn.XLOOKUP(E590, Product_Master!A:A, Product_Master!C:C)</f>
        <v>Electronics</v>
      </c>
      <c r="J590" s="2">
        <f>_xlfn.XLOOKUP(E590, Product_Master!A:A, Product_Master!D:D)</f>
        <v>18000</v>
      </c>
      <c r="K590" s="2">
        <f t="shared" si="36"/>
        <v>21375</v>
      </c>
      <c r="L590" s="2">
        <f t="shared" si="37"/>
        <v>270000</v>
      </c>
      <c r="M590" s="2">
        <f t="shared" si="38"/>
        <v>-248625</v>
      </c>
      <c r="N590" s="2">
        <f>_xlfn.XLOOKUP(D590, Sales_Rep_Master!A:A, Sales_Rep_Master!B:B)</f>
        <v>890000</v>
      </c>
      <c r="O590" s="4">
        <f t="shared" si="39"/>
        <v>2.4016853932584268E-2</v>
      </c>
    </row>
    <row r="591" spans="1:15" ht="15.75" x14ac:dyDescent="0.25">
      <c r="A591" s="3" t="s">
        <v>906</v>
      </c>
      <c r="B591" s="2" t="s">
        <v>711</v>
      </c>
      <c r="C591" s="2" t="s">
        <v>18</v>
      </c>
      <c r="D591" s="2" t="s">
        <v>10</v>
      </c>
      <c r="E591" s="2" t="s">
        <v>11</v>
      </c>
      <c r="F591" s="2">
        <v>2</v>
      </c>
      <c r="G591" s="2">
        <v>6604</v>
      </c>
      <c r="H591" s="2" t="str">
        <f>_xlfn.XLOOKUP(E591, Product_Master!A:A, Product_Master!B:B)</f>
        <v>Mobile</v>
      </c>
      <c r="I591" s="2" t="str">
        <f>_xlfn.XLOOKUP(E591, Product_Master!A:A, Product_Master!C:C)</f>
        <v>Electronics</v>
      </c>
      <c r="J591" s="2">
        <f>_xlfn.XLOOKUP(E591, Product_Master!A:A, Product_Master!D:D)</f>
        <v>18000</v>
      </c>
      <c r="K591" s="2">
        <f t="shared" si="36"/>
        <v>13208</v>
      </c>
      <c r="L591" s="2">
        <f t="shared" si="37"/>
        <v>36000</v>
      </c>
      <c r="M591" s="2">
        <f t="shared" si="38"/>
        <v>-22792</v>
      </c>
      <c r="N591" s="2">
        <f>_xlfn.XLOOKUP(D591, Sales_Rep_Master!A:A, Sales_Rep_Master!B:B)</f>
        <v>920000</v>
      </c>
      <c r="O591" s="4">
        <f t="shared" si="39"/>
        <v>1.4356521739130435E-2</v>
      </c>
    </row>
    <row r="592" spans="1:15" ht="15.75" hidden="1" x14ac:dyDescent="0.25">
      <c r="A592" s="3" t="s">
        <v>907</v>
      </c>
      <c r="B592" s="2" t="s">
        <v>397</v>
      </c>
      <c r="C592" s="2" t="s">
        <v>18</v>
      </c>
      <c r="D592" s="2" t="s">
        <v>19</v>
      </c>
      <c r="E592" s="2" t="s">
        <v>61</v>
      </c>
      <c r="F592" s="2">
        <v>1</v>
      </c>
      <c r="G592" s="2">
        <v>4950</v>
      </c>
      <c r="H592" s="2" t="str">
        <f>_xlfn.XLOOKUP(E592, Product_Master!A:A, Product_Master!B:B)</f>
        <v>Shoes</v>
      </c>
      <c r="I592" s="2" t="str">
        <f>_xlfn.XLOOKUP(E592, Product_Master!A:A, Product_Master!C:C)</f>
        <v>Clothing</v>
      </c>
      <c r="J592" s="2">
        <f>_xlfn.XLOOKUP(E592, Product_Master!A:A, Product_Master!D:D)</f>
        <v>2000</v>
      </c>
      <c r="K592" s="2">
        <f t="shared" si="36"/>
        <v>4950</v>
      </c>
      <c r="L592" s="2">
        <f t="shared" si="37"/>
        <v>2000</v>
      </c>
      <c r="M592" s="2">
        <f t="shared" si="38"/>
        <v>2950</v>
      </c>
      <c r="N592" s="2">
        <f>_xlfn.XLOOKUP(D592, Sales_Rep_Master!A:A, Sales_Rep_Master!B:B)</f>
        <v>950000</v>
      </c>
      <c r="O592" s="4">
        <f t="shared" si="39"/>
        <v>5.2105263157894736E-3</v>
      </c>
    </row>
    <row r="593" spans="1:15" ht="15.75" hidden="1" x14ac:dyDescent="0.25">
      <c r="A593" s="3" t="s">
        <v>908</v>
      </c>
      <c r="B593" s="2" t="s">
        <v>394</v>
      </c>
      <c r="C593" s="2" t="s">
        <v>26</v>
      </c>
      <c r="D593" s="2" t="s">
        <v>152</v>
      </c>
      <c r="E593" s="2" t="s">
        <v>61</v>
      </c>
      <c r="F593" s="2">
        <v>1</v>
      </c>
      <c r="G593" s="2">
        <v>4587</v>
      </c>
      <c r="H593" s="2" t="str">
        <f>_xlfn.XLOOKUP(E593, Product_Master!A:A, Product_Master!B:B)</f>
        <v>Shoes</v>
      </c>
      <c r="I593" s="2" t="str">
        <f>_xlfn.XLOOKUP(E593, Product_Master!A:A, Product_Master!C:C)</f>
        <v>Clothing</v>
      </c>
      <c r="J593" s="2">
        <f>_xlfn.XLOOKUP(E593, Product_Master!A:A, Product_Master!D:D)</f>
        <v>2000</v>
      </c>
      <c r="K593" s="2">
        <f t="shared" si="36"/>
        <v>4587</v>
      </c>
      <c r="L593" s="2">
        <f t="shared" si="37"/>
        <v>2000</v>
      </c>
      <c r="M593" s="2">
        <f t="shared" si="38"/>
        <v>2587</v>
      </c>
      <c r="N593" s="2">
        <f>_xlfn.XLOOKUP(D593, Sales_Rep_Master!A:A, Sales_Rep_Master!B:B)</f>
        <v>870000</v>
      </c>
      <c r="O593" s="4">
        <f t="shared" si="39"/>
        <v>5.2724137931034485E-3</v>
      </c>
    </row>
    <row r="594" spans="1:15" ht="15.75" hidden="1" x14ac:dyDescent="0.25">
      <c r="A594" s="3" t="s">
        <v>909</v>
      </c>
      <c r="B594" s="2" t="s">
        <v>845</v>
      </c>
      <c r="C594" s="2" t="s">
        <v>26</v>
      </c>
      <c r="D594" s="2" t="s">
        <v>14</v>
      </c>
      <c r="E594" s="2" t="s">
        <v>34</v>
      </c>
      <c r="F594" s="2">
        <v>15</v>
      </c>
      <c r="G594" s="2">
        <v>3126</v>
      </c>
      <c r="H594" s="2" t="str">
        <f>_xlfn.XLOOKUP(E594, Product_Master!A:A, Product_Master!B:B)</f>
        <v>Jacket</v>
      </c>
      <c r="I594" s="2" t="str">
        <f>_xlfn.XLOOKUP(E594, Product_Master!A:A, Product_Master!C:C)</f>
        <v>Clothing</v>
      </c>
      <c r="J594" s="2">
        <f>_xlfn.XLOOKUP(E594, Product_Master!A:A, Product_Master!D:D)</f>
        <v>1500</v>
      </c>
      <c r="K594" s="2">
        <f t="shared" si="36"/>
        <v>46890</v>
      </c>
      <c r="L594" s="2">
        <f t="shared" si="37"/>
        <v>22500</v>
      </c>
      <c r="M594" s="2">
        <f t="shared" si="38"/>
        <v>24390</v>
      </c>
      <c r="N594" s="2">
        <f>_xlfn.XLOOKUP(D594, Sales_Rep_Master!A:A, Sales_Rep_Master!B:B)</f>
        <v>880000</v>
      </c>
      <c r="O594" s="4">
        <f t="shared" si="39"/>
        <v>5.3284090909090906E-2</v>
      </c>
    </row>
    <row r="595" spans="1:15" ht="15.75" hidden="1" x14ac:dyDescent="0.25">
      <c r="A595" s="3" t="s">
        <v>910</v>
      </c>
      <c r="B595" s="2" t="s">
        <v>911</v>
      </c>
      <c r="C595" s="2" t="s">
        <v>33</v>
      </c>
      <c r="D595" s="2" t="s">
        <v>51</v>
      </c>
      <c r="E595" s="2" t="s">
        <v>34</v>
      </c>
      <c r="F595" s="2">
        <v>10</v>
      </c>
      <c r="G595" s="2">
        <v>3864</v>
      </c>
      <c r="H595" s="2" t="str">
        <f>_xlfn.XLOOKUP(E595, Product_Master!A:A, Product_Master!B:B)</f>
        <v>Jacket</v>
      </c>
      <c r="I595" s="2" t="str">
        <f>_xlfn.XLOOKUP(E595, Product_Master!A:A, Product_Master!C:C)</f>
        <v>Clothing</v>
      </c>
      <c r="J595" s="2">
        <f>_xlfn.XLOOKUP(E595, Product_Master!A:A, Product_Master!D:D)</f>
        <v>1500</v>
      </c>
      <c r="K595" s="2">
        <f t="shared" si="36"/>
        <v>38640</v>
      </c>
      <c r="L595" s="2">
        <f t="shared" si="37"/>
        <v>15000</v>
      </c>
      <c r="M595" s="2">
        <f t="shared" si="38"/>
        <v>23640</v>
      </c>
      <c r="N595" s="2">
        <f>_xlfn.XLOOKUP(D595, Sales_Rep_Master!A:A, Sales_Rep_Master!B:B)</f>
        <v>900000</v>
      </c>
      <c r="O595" s="4">
        <f t="shared" si="39"/>
        <v>4.293333333333333E-2</v>
      </c>
    </row>
    <row r="596" spans="1:15" ht="15.75" x14ac:dyDescent="0.25">
      <c r="A596" s="3" t="s">
        <v>912</v>
      </c>
      <c r="B596" s="2" t="s">
        <v>184</v>
      </c>
      <c r="C596" s="2" t="s">
        <v>26</v>
      </c>
      <c r="D596" s="2" t="s">
        <v>27</v>
      </c>
      <c r="E596" s="2" t="s">
        <v>28</v>
      </c>
      <c r="F596" s="2">
        <v>13</v>
      </c>
      <c r="G596" s="2">
        <v>2388</v>
      </c>
      <c r="H596" s="2" t="str">
        <f>_xlfn.XLOOKUP(E596, Product_Master!A:A, Product_Master!B:B)</f>
        <v>Laptop</v>
      </c>
      <c r="I596" s="2" t="str">
        <f>_xlfn.XLOOKUP(E596, Product_Master!A:A, Product_Master!C:C)</f>
        <v>Electronics</v>
      </c>
      <c r="J596" s="2">
        <f>_xlfn.XLOOKUP(E596, Product_Master!A:A, Product_Master!D:D)</f>
        <v>35000</v>
      </c>
      <c r="K596" s="2">
        <f t="shared" si="36"/>
        <v>31044</v>
      </c>
      <c r="L596" s="2">
        <f t="shared" si="37"/>
        <v>455000</v>
      </c>
      <c r="M596" s="2">
        <f t="shared" si="38"/>
        <v>-423956</v>
      </c>
      <c r="N596" s="2">
        <f>_xlfn.XLOOKUP(D596, Sales_Rep_Master!A:A, Sales_Rep_Master!B:B)</f>
        <v>800000</v>
      </c>
      <c r="O596" s="4">
        <f t="shared" si="39"/>
        <v>3.8804999999999999E-2</v>
      </c>
    </row>
    <row r="597" spans="1:15" ht="15.75" hidden="1" x14ac:dyDescent="0.25">
      <c r="A597" s="3" t="s">
        <v>913</v>
      </c>
      <c r="B597" s="2" t="s">
        <v>394</v>
      </c>
      <c r="C597" s="2" t="s">
        <v>26</v>
      </c>
      <c r="D597" s="2" t="s">
        <v>19</v>
      </c>
      <c r="E597" s="2" t="s">
        <v>23</v>
      </c>
      <c r="F597" s="2">
        <v>1</v>
      </c>
      <c r="G597" s="2">
        <v>4619</v>
      </c>
      <c r="H597" s="2" t="str">
        <f>_xlfn.XLOOKUP(E597, Product_Master!A:A, Product_Master!B:B)</f>
        <v>Sofa</v>
      </c>
      <c r="I597" s="2" t="str">
        <f>_xlfn.XLOOKUP(E597, Product_Master!A:A, Product_Master!C:C)</f>
        <v>Furniture</v>
      </c>
      <c r="J597" s="2">
        <f>_xlfn.XLOOKUP(E597, Product_Master!A:A, Product_Master!D:D)</f>
        <v>15000</v>
      </c>
      <c r="K597" s="2">
        <f t="shared" si="36"/>
        <v>4619</v>
      </c>
      <c r="L597" s="2">
        <f t="shared" si="37"/>
        <v>15000</v>
      </c>
      <c r="M597" s="2">
        <f t="shared" si="38"/>
        <v>-10381</v>
      </c>
      <c r="N597" s="2">
        <f>_xlfn.XLOOKUP(D597, Sales_Rep_Master!A:A, Sales_Rep_Master!B:B)</f>
        <v>950000</v>
      </c>
      <c r="O597" s="4">
        <f t="shared" si="39"/>
        <v>4.862105263157895E-3</v>
      </c>
    </row>
    <row r="598" spans="1:15" ht="15.75" hidden="1" x14ac:dyDescent="0.25">
      <c r="A598" s="3" t="s">
        <v>914</v>
      </c>
      <c r="B598" s="2" t="s">
        <v>915</v>
      </c>
      <c r="C598" s="2" t="s">
        <v>18</v>
      </c>
      <c r="D598" s="2" t="s">
        <v>10</v>
      </c>
      <c r="E598" s="2" t="s">
        <v>15</v>
      </c>
      <c r="F598" s="2">
        <v>2</v>
      </c>
      <c r="G598" s="2">
        <v>5890</v>
      </c>
      <c r="H598" s="2" t="str">
        <f>_xlfn.XLOOKUP(E598, Product_Master!A:A, Product_Master!B:B)</f>
        <v>Chair</v>
      </c>
      <c r="I598" s="2" t="str">
        <f>_xlfn.XLOOKUP(E598, Product_Master!A:A, Product_Master!C:C)</f>
        <v>Furniture</v>
      </c>
      <c r="J598" s="2">
        <f>_xlfn.XLOOKUP(E598, Product_Master!A:A, Product_Master!D:D)</f>
        <v>2500</v>
      </c>
      <c r="K598" s="2">
        <f t="shared" si="36"/>
        <v>11780</v>
      </c>
      <c r="L598" s="2">
        <f t="shared" si="37"/>
        <v>5000</v>
      </c>
      <c r="M598" s="2">
        <f t="shared" si="38"/>
        <v>6780</v>
      </c>
      <c r="N598" s="2">
        <f>_xlfn.XLOOKUP(D598, Sales_Rep_Master!A:A, Sales_Rep_Master!B:B)</f>
        <v>920000</v>
      </c>
      <c r="O598" s="4">
        <f t="shared" si="39"/>
        <v>1.2804347826086956E-2</v>
      </c>
    </row>
    <row r="599" spans="1:15" ht="15.75" x14ac:dyDescent="0.25">
      <c r="A599" s="3" t="s">
        <v>916</v>
      </c>
      <c r="B599" s="2" t="s">
        <v>869</v>
      </c>
      <c r="C599" s="2" t="s">
        <v>33</v>
      </c>
      <c r="D599" s="2" t="s">
        <v>19</v>
      </c>
      <c r="E599" s="2" t="s">
        <v>28</v>
      </c>
      <c r="F599" s="2">
        <v>4</v>
      </c>
      <c r="G599" s="2">
        <v>7404</v>
      </c>
      <c r="H599" s="2" t="str">
        <f>_xlfn.XLOOKUP(E599, Product_Master!A:A, Product_Master!B:B)</f>
        <v>Laptop</v>
      </c>
      <c r="I599" s="2" t="str">
        <f>_xlfn.XLOOKUP(E599, Product_Master!A:A, Product_Master!C:C)</f>
        <v>Electronics</v>
      </c>
      <c r="J599" s="2">
        <f>_xlfn.XLOOKUP(E599, Product_Master!A:A, Product_Master!D:D)</f>
        <v>35000</v>
      </c>
      <c r="K599" s="2">
        <f t="shared" si="36"/>
        <v>29616</v>
      </c>
      <c r="L599" s="2">
        <f t="shared" si="37"/>
        <v>140000</v>
      </c>
      <c r="M599" s="2">
        <f t="shared" si="38"/>
        <v>-110384</v>
      </c>
      <c r="N599" s="2">
        <f>_xlfn.XLOOKUP(D599, Sales_Rep_Master!A:A, Sales_Rep_Master!B:B)</f>
        <v>950000</v>
      </c>
      <c r="O599" s="4">
        <f t="shared" si="39"/>
        <v>3.1174736842105262E-2</v>
      </c>
    </row>
    <row r="600" spans="1:15" ht="15.75" hidden="1" x14ac:dyDescent="0.25">
      <c r="A600" s="3" t="s">
        <v>917</v>
      </c>
      <c r="B600" s="2" t="s">
        <v>207</v>
      </c>
      <c r="C600" s="2" t="s">
        <v>18</v>
      </c>
      <c r="D600" s="2" t="s">
        <v>10</v>
      </c>
      <c r="E600" s="2" t="s">
        <v>23</v>
      </c>
      <c r="F600" s="2">
        <v>2</v>
      </c>
      <c r="G600" s="2">
        <v>904</v>
      </c>
      <c r="H600" s="2" t="str">
        <f>_xlfn.XLOOKUP(E600, Product_Master!A:A, Product_Master!B:B)</f>
        <v>Sofa</v>
      </c>
      <c r="I600" s="2" t="str">
        <f>_xlfn.XLOOKUP(E600, Product_Master!A:A, Product_Master!C:C)</f>
        <v>Furniture</v>
      </c>
      <c r="J600" s="2">
        <f>_xlfn.XLOOKUP(E600, Product_Master!A:A, Product_Master!D:D)</f>
        <v>15000</v>
      </c>
      <c r="K600" s="2">
        <f t="shared" si="36"/>
        <v>1808</v>
      </c>
      <c r="L600" s="2">
        <f t="shared" si="37"/>
        <v>30000</v>
      </c>
      <c r="M600" s="2">
        <f t="shared" si="38"/>
        <v>-28192</v>
      </c>
      <c r="N600" s="2">
        <f>_xlfn.XLOOKUP(D600, Sales_Rep_Master!A:A, Sales_Rep_Master!B:B)</f>
        <v>920000</v>
      </c>
      <c r="O600" s="4">
        <f t="shared" si="39"/>
        <v>1.9652173913043479E-3</v>
      </c>
    </row>
    <row r="601" spans="1:15" ht="15.75" x14ac:dyDescent="0.25">
      <c r="A601" s="3" t="s">
        <v>918</v>
      </c>
      <c r="B601" s="2" t="s">
        <v>904</v>
      </c>
      <c r="C601" s="2" t="s">
        <v>9</v>
      </c>
      <c r="D601" s="2" t="s">
        <v>14</v>
      </c>
      <c r="E601" s="2" t="s">
        <v>11</v>
      </c>
      <c r="F601" s="2">
        <v>8</v>
      </c>
      <c r="G601" s="2">
        <v>4203</v>
      </c>
      <c r="H601" s="2" t="str">
        <f>_xlfn.XLOOKUP(E601, Product_Master!A:A, Product_Master!B:B)</f>
        <v>Mobile</v>
      </c>
      <c r="I601" s="2" t="str">
        <f>_xlfn.XLOOKUP(E601, Product_Master!A:A, Product_Master!C:C)</f>
        <v>Electronics</v>
      </c>
      <c r="J601" s="2">
        <f>_xlfn.XLOOKUP(E601, Product_Master!A:A, Product_Master!D:D)</f>
        <v>18000</v>
      </c>
      <c r="K601" s="2">
        <f t="shared" si="36"/>
        <v>33624</v>
      </c>
      <c r="L601" s="2">
        <f t="shared" si="37"/>
        <v>144000</v>
      </c>
      <c r="M601" s="2">
        <f t="shared" si="38"/>
        <v>-110376</v>
      </c>
      <c r="N601" s="2">
        <f>_xlfn.XLOOKUP(D601, Sales_Rep_Master!A:A, Sales_Rep_Master!B:B)</f>
        <v>880000</v>
      </c>
      <c r="O601" s="4">
        <f t="shared" si="39"/>
        <v>3.8209090909090908E-2</v>
      </c>
    </row>
    <row r="602" spans="1:15" ht="15.75" hidden="1" x14ac:dyDescent="0.25">
      <c r="A602" s="3" t="s">
        <v>919</v>
      </c>
      <c r="B602" s="2" t="s">
        <v>366</v>
      </c>
      <c r="C602" s="2" t="s">
        <v>9</v>
      </c>
      <c r="D602" s="2" t="s">
        <v>19</v>
      </c>
      <c r="E602" s="2" t="s">
        <v>61</v>
      </c>
      <c r="F602" s="2">
        <v>15</v>
      </c>
      <c r="G602" s="2">
        <v>3982</v>
      </c>
      <c r="H602" s="2" t="str">
        <f>_xlfn.XLOOKUP(E602, Product_Master!A:A, Product_Master!B:B)</f>
        <v>Shoes</v>
      </c>
      <c r="I602" s="2" t="str">
        <f>_xlfn.XLOOKUP(E602, Product_Master!A:A, Product_Master!C:C)</f>
        <v>Clothing</v>
      </c>
      <c r="J602" s="2">
        <f>_xlfn.XLOOKUP(E602, Product_Master!A:A, Product_Master!D:D)</f>
        <v>2000</v>
      </c>
      <c r="K602" s="2">
        <f t="shared" si="36"/>
        <v>59730</v>
      </c>
      <c r="L602" s="2">
        <f t="shared" si="37"/>
        <v>30000</v>
      </c>
      <c r="M602" s="2">
        <f t="shared" si="38"/>
        <v>29730</v>
      </c>
      <c r="N602" s="2">
        <f>_xlfn.XLOOKUP(D602, Sales_Rep_Master!A:A, Sales_Rep_Master!B:B)</f>
        <v>950000</v>
      </c>
      <c r="O602" s="4">
        <f t="shared" si="39"/>
        <v>6.2873684210526318E-2</v>
      </c>
    </row>
    <row r="603" spans="1:15" ht="15.75" hidden="1" x14ac:dyDescent="0.25">
      <c r="A603" s="3" t="s">
        <v>920</v>
      </c>
      <c r="B603" s="2" t="s">
        <v>829</v>
      </c>
      <c r="C603" s="2" t="s">
        <v>26</v>
      </c>
      <c r="D603" s="2" t="s">
        <v>10</v>
      </c>
      <c r="E603" s="2" t="s">
        <v>15</v>
      </c>
      <c r="F603" s="2">
        <v>9</v>
      </c>
      <c r="G603" s="2">
        <v>2995</v>
      </c>
      <c r="H603" s="2" t="str">
        <f>_xlfn.XLOOKUP(E603, Product_Master!A:A, Product_Master!B:B)</f>
        <v>Chair</v>
      </c>
      <c r="I603" s="2" t="str">
        <f>_xlfn.XLOOKUP(E603, Product_Master!A:A, Product_Master!C:C)</f>
        <v>Furniture</v>
      </c>
      <c r="J603" s="2">
        <f>_xlfn.XLOOKUP(E603, Product_Master!A:A, Product_Master!D:D)</f>
        <v>2500</v>
      </c>
      <c r="K603" s="2">
        <f t="shared" si="36"/>
        <v>26955</v>
      </c>
      <c r="L603" s="2">
        <f t="shared" si="37"/>
        <v>22500</v>
      </c>
      <c r="M603" s="2">
        <f t="shared" si="38"/>
        <v>4455</v>
      </c>
      <c r="N603" s="2">
        <f>_xlfn.XLOOKUP(D603, Sales_Rep_Master!A:A, Sales_Rep_Master!B:B)</f>
        <v>920000</v>
      </c>
      <c r="O603" s="4">
        <f t="shared" si="39"/>
        <v>2.9298913043478262E-2</v>
      </c>
    </row>
    <row r="604" spans="1:15" ht="15.75" x14ac:dyDescent="0.25">
      <c r="A604" s="3" t="s">
        <v>921</v>
      </c>
      <c r="B604" s="2" t="s">
        <v>302</v>
      </c>
      <c r="C604" s="2" t="s">
        <v>18</v>
      </c>
      <c r="D604" s="2" t="s">
        <v>152</v>
      </c>
      <c r="E604" s="2" t="s">
        <v>11</v>
      </c>
      <c r="F604" s="2">
        <v>1</v>
      </c>
      <c r="G604" s="2">
        <v>3623</v>
      </c>
      <c r="H604" s="2" t="str">
        <f>_xlfn.XLOOKUP(E604, Product_Master!A:A, Product_Master!B:B)</f>
        <v>Mobile</v>
      </c>
      <c r="I604" s="2" t="str">
        <f>_xlfn.XLOOKUP(E604, Product_Master!A:A, Product_Master!C:C)</f>
        <v>Electronics</v>
      </c>
      <c r="J604" s="2">
        <f>_xlfn.XLOOKUP(E604, Product_Master!A:A, Product_Master!D:D)</f>
        <v>18000</v>
      </c>
      <c r="K604" s="2">
        <f t="shared" si="36"/>
        <v>3623</v>
      </c>
      <c r="L604" s="2">
        <f t="shared" si="37"/>
        <v>18000</v>
      </c>
      <c r="M604" s="2">
        <f t="shared" si="38"/>
        <v>-14377</v>
      </c>
      <c r="N604" s="2">
        <f>_xlfn.XLOOKUP(D604, Sales_Rep_Master!A:A, Sales_Rep_Master!B:B)</f>
        <v>870000</v>
      </c>
      <c r="O604" s="4">
        <f t="shared" si="39"/>
        <v>4.164367816091954E-3</v>
      </c>
    </row>
    <row r="605" spans="1:15" ht="15.75" hidden="1" x14ac:dyDescent="0.25">
      <c r="A605" s="3" t="s">
        <v>922</v>
      </c>
      <c r="B605" s="2" t="s">
        <v>801</v>
      </c>
      <c r="C605" s="2" t="s">
        <v>18</v>
      </c>
      <c r="D605" s="2" t="s">
        <v>51</v>
      </c>
      <c r="E605" s="2" t="s">
        <v>15</v>
      </c>
      <c r="F605" s="2">
        <v>15</v>
      </c>
      <c r="G605" s="2">
        <v>2007</v>
      </c>
      <c r="H605" s="2" t="str">
        <f>_xlfn.XLOOKUP(E605, Product_Master!A:A, Product_Master!B:B)</f>
        <v>Chair</v>
      </c>
      <c r="I605" s="2" t="str">
        <f>_xlfn.XLOOKUP(E605, Product_Master!A:A, Product_Master!C:C)</f>
        <v>Furniture</v>
      </c>
      <c r="J605" s="2">
        <f>_xlfn.XLOOKUP(E605, Product_Master!A:A, Product_Master!D:D)</f>
        <v>2500</v>
      </c>
      <c r="K605" s="2">
        <f t="shared" si="36"/>
        <v>30105</v>
      </c>
      <c r="L605" s="2">
        <f t="shared" si="37"/>
        <v>37500</v>
      </c>
      <c r="M605" s="2">
        <f t="shared" si="38"/>
        <v>-7395</v>
      </c>
      <c r="N605" s="2">
        <f>_xlfn.XLOOKUP(D605, Sales_Rep_Master!A:A, Sales_Rep_Master!B:B)</f>
        <v>900000</v>
      </c>
      <c r="O605" s="4">
        <f t="shared" si="39"/>
        <v>3.3450000000000001E-2</v>
      </c>
    </row>
    <row r="606" spans="1:15" ht="15.75" hidden="1" x14ac:dyDescent="0.25">
      <c r="A606" s="3" t="s">
        <v>923</v>
      </c>
      <c r="B606" s="2" t="s">
        <v>628</v>
      </c>
      <c r="C606" s="2" t="s">
        <v>26</v>
      </c>
      <c r="D606" s="2" t="s">
        <v>152</v>
      </c>
      <c r="E606" s="2" t="s">
        <v>34</v>
      </c>
      <c r="F606" s="2">
        <v>11</v>
      </c>
      <c r="G606" s="2">
        <v>4643</v>
      </c>
      <c r="H606" s="2" t="str">
        <f>_xlfn.XLOOKUP(E606, Product_Master!A:A, Product_Master!B:B)</f>
        <v>Jacket</v>
      </c>
      <c r="I606" s="2" t="str">
        <f>_xlfn.XLOOKUP(E606, Product_Master!A:A, Product_Master!C:C)</f>
        <v>Clothing</v>
      </c>
      <c r="J606" s="2">
        <f>_xlfn.XLOOKUP(E606, Product_Master!A:A, Product_Master!D:D)</f>
        <v>1500</v>
      </c>
      <c r="K606" s="2">
        <f t="shared" si="36"/>
        <v>51073</v>
      </c>
      <c r="L606" s="2">
        <f t="shared" si="37"/>
        <v>16500</v>
      </c>
      <c r="M606" s="2">
        <f t="shared" si="38"/>
        <v>34573</v>
      </c>
      <c r="N606" s="2">
        <f>_xlfn.XLOOKUP(D606, Sales_Rep_Master!A:A, Sales_Rep_Master!B:B)</f>
        <v>870000</v>
      </c>
      <c r="O606" s="4">
        <f t="shared" si="39"/>
        <v>5.8704597701149427E-2</v>
      </c>
    </row>
    <row r="607" spans="1:15" ht="15.75" hidden="1" x14ac:dyDescent="0.25">
      <c r="A607" s="3" t="s">
        <v>924</v>
      </c>
      <c r="B607" s="2" t="s">
        <v>925</v>
      </c>
      <c r="C607" s="2" t="s">
        <v>9</v>
      </c>
      <c r="D607" s="2" t="s">
        <v>152</v>
      </c>
      <c r="E607" s="2" t="s">
        <v>61</v>
      </c>
      <c r="F607" s="2">
        <v>8</v>
      </c>
      <c r="G607" s="2">
        <v>1615</v>
      </c>
      <c r="H607" s="2" t="str">
        <f>_xlfn.XLOOKUP(E607, Product_Master!A:A, Product_Master!B:B)</f>
        <v>Shoes</v>
      </c>
      <c r="I607" s="2" t="str">
        <f>_xlfn.XLOOKUP(E607, Product_Master!A:A, Product_Master!C:C)</f>
        <v>Clothing</v>
      </c>
      <c r="J607" s="2">
        <f>_xlfn.XLOOKUP(E607, Product_Master!A:A, Product_Master!D:D)</f>
        <v>2000</v>
      </c>
      <c r="K607" s="2">
        <f t="shared" si="36"/>
        <v>12920</v>
      </c>
      <c r="L607" s="2">
        <f t="shared" si="37"/>
        <v>16000</v>
      </c>
      <c r="M607" s="2">
        <f t="shared" si="38"/>
        <v>-3080</v>
      </c>
      <c r="N607" s="2">
        <f>_xlfn.XLOOKUP(D607, Sales_Rep_Master!A:A, Sales_Rep_Master!B:B)</f>
        <v>870000</v>
      </c>
      <c r="O607" s="4">
        <f t="shared" si="39"/>
        <v>1.4850574712643679E-2</v>
      </c>
    </row>
    <row r="608" spans="1:15" ht="15.75" hidden="1" x14ac:dyDescent="0.25">
      <c r="A608" s="3" t="s">
        <v>926</v>
      </c>
      <c r="B608" s="2" t="s">
        <v>315</v>
      </c>
      <c r="C608" s="2" t="s">
        <v>33</v>
      </c>
      <c r="D608" s="2" t="s">
        <v>19</v>
      </c>
      <c r="E608" s="2" t="s">
        <v>23</v>
      </c>
      <c r="F608" s="2">
        <v>10</v>
      </c>
      <c r="G608" s="2">
        <v>7817</v>
      </c>
      <c r="H608" s="2" t="str">
        <f>_xlfn.XLOOKUP(E608, Product_Master!A:A, Product_Master!B:B)</f>
        <v>Sofa</v>
      </c>
      <c r="I608" s="2" t="str">
        <f>_xlfn.XLOOKUP(E608, Product_Master!A:A, Product_Master!C:C)</f>
        <v>Furniture</v>
      </c>
      <c r="J608" s="2">
        <f>_xlfn.XLOOKUP(E608, Product_Master!A:A, Product_Master!D:D)</f>
        <v>15000</v>
      </c>
      <c r="K608" s="2">
        <f t="shared" si="36"/>
        <v>78170</v>
      </c>
      <c r="L608" s="2">
        <f t="shared" si="37"/>
        <v>150000</v>
      </c>
      <c r="M608" s="2">
        <f t="shared" si="38"/>
        <v>-71830</v>
      </c>
      <c r="N608" s="2">
        <f>_xlfn.XLOOKUP(D608, Sales_Rep_Master!A:A, Sales_Rep_Master!B:B)</f>
        <v>950000</v>
      </c>
      <c r="O608" s="4">
        <f t="shared" si="39"/>
        <v>8.2284210526315793E-2</v>
      </c>
    </row>
    <row r="609" spans="1:15" ht="15.75" hidden="1" x14ac:dyDescent="0.25">
      <c r="A609" s="3" t="s">
        <v>927</v>
      </c>
      <c r="B609" s="2" t="s">
        <v>182</v>
      </c>
      <c r="C609" s="2" t="s">
        <v>18</v>
      </c>
      <c r="D609" s="2" t="s">
        <v>10</v>
      </c>
      <c r="E609" s="2" t="s">
        <v>40</v>
      </c>
      <c r="F609" s="2">
        <v>9</v>
      </c>
      <c r="G609" s="2">
        <v>638</v>
      </c>
      <c r="H609" s="2" t="str">
        <f>_xlfn.XLOOKUP(E609, Product_Master!A:A, Product_Master!B:B)</f>
        <v>Table</v>
      </c>
      <c r="I609" s="2" t="str">
        <f>_xlfn.XLOOKUP(E609, Product_Master!A:A, Product_Master!C:C)</f>
        <v>Furniture</v>
      </c>
      <c r="J609" s="2">
        <f>_xlfn.XLOOKUP(E609, Product_Master!A:A, Product_Master!D:D)</f>
        <v>7000</v>
      </c>
      <c r="K609" s="2">
        <f t="shared" si="36"/>
        <v>5742</v>
      </c>
      <c r="L609" s="2">
        <f t="shared" si="37"/>
        <v>63000</v>
      </c>
      <c r="M609" s="2">
        <f t="shared" si="38"/>
        <v>-57258</v>
      </c>
      <c r="N609" s="2">
        <f>_xlfn.XLOOKUP(D609, Sales_Rep_Master!A:A, Sales_Rep_Master!B:B)</f>
        <v>920000</v>
      </c>
      <c r="O609" s="4">
        <f t="shared" si="39"/>
        <v>6.241304347826087E-3</v>
      </c>
    </row>
    <row r="610" spans="1:15" ht="15.75" hidden="1" x14ac:dyDescent="0.25">
      <c r="A610" s="3" t="s">
        <v>928</v>
      </c>
      <c r="B610" s="2" t="s">
        <v>649</v>
      </c>
      <c r="C610" s="2" t="s">
        <v>18</v>
      </c>
      <c r="D610" s="2" t="s">
        <v>10</v>
      </c>
      <c r="E610" s="2" t="s">
        <v>23</v>
      </c>
      <c r="F610" s="2">
        <v>1</v>
      </c>
      <c r="G610" s="2">
        <v>4209</v>
      </c>
      <c r="H610" s="2" t="str">
        <f>_xlfn.XLOOKUP(E610, Product_Master!A:A, Product_Master!B:B)</f>
        <v>Sofa</v>
      </c>
      <c r="I610" s="2" t="str">
        <f>_xlfn.XLOOKUP(E610, Product_Master!A:A, Product_Master!C:C)</f>
        <v>Furniture</v>
      </c>
      <c r="J610" s="2">
        <f>_xlfn.XLOOKUP(E610, Product_Master!A:A, Product_Master!D:D)</f>
        <v>15000</v>
      </c>
      <c r="K610" s="2">
        <f t="shared" si="36"/>
        <v>4209</v>
      </c>
      <c r="L610" s="2">
        <f t="shared" si="37"/>
        <v>15000</v>
      </c>
      <c r="M610" s="2">
        <f t="shared" si="38"/>
        <v>-10791</v>
      </c>
      <c r="N610" s="2">
        <f>_xlfn.XLOOKUP(D610, Sales_Rep_Master!A:A, Sales_Rep_Master!B:B)</f>
        <v>920000</v>
      </c>
      <c r="O610" s="4">
        <f t="shared" si="39"/>
        <v>4.5750000000000001E-3</v>
      </c>
    </row>
    <row r="611" spans="1:15" ht="15.75" x14ac:dyDescent="0.25">
      <c r="A611" s="3" t="s">
        <v>929</v>
      </c>
      <c r="B611" s="2" t="s">
        <v>42</v>
      </c>
      <c r="C611" s="2" t="s">
        <v>26</v>
      </c>
      <c r="D611" s="2" t="s">
        <v>37</v>
      </c>
      <c r="E611" s="2" t="s">
        <v>20</v>
      </c>
      <c r="F611" s="2">
        <v>4</v>
      </c>
      <c r="G611" s="2">
        <v>5547</v>
      </c>
      <c r="H611" s="2" t="str">
        <f>_xlfn.XLOOKUP(E611, Product_Master!A:A, Product_Master!B:B)</f>
        <v>Headphones</v>
      </c>
      <c r="I611" s="2" t="str">
        <f>_xlfn.XLOOKUP(E611, Product_Master!A:A, Product_Master!C:C)</f>
        <v>Electronics</v>
      </c>
      <c r="J611" s="2">
        <f>_xlfn.XLOOKUP(E611, Product_Master!A:A, Product_Master!D:D)</f>
        <v>2000</v>
      </c>
      <c r="K611" s="2">
        <f t="shared" si="36"/>
        <v>22188</v>
      </c>
      <c r="L611" s="2">
        <f t="shared" si="37"/>
        <v>8000</v>
      </c>
      <c r="M611" s="2">
        <f t="shared" si="38"/>
        <v>14188</v>
      </c>
      <c r="N611" s="2">
        <f>_xlfn.XLOOKUP(D611, Sales_Rep_Master!A:A, Sales_Rep_Master!B:B)</f>
        <v>850000</v>
      </c>
      <c r="O611" s="4">
        <f t="shared" si="39"/>
        <v>2.6103529411764706E-2</v>
      </c>
    </row>
    <row r="612" spans="1:15" ht="15.75" hidden="1" x14ac:dyDescent="0.25">
      <c r="A612" s="3" t="s">
        <v>930</v>
      </c>
      <c r="B612" s="2" t="s">
        <v>747</v>
      </c>
      <c r="C612" s="2" t="s">
        <v>9</v>
      </c>
      <c r="D612" s="2" t="s">
        <v>19</v>
      </c>
      <c r="E612" s="2" t="s">
        <v>15</v>
      </c>
      <c r="F612" s="2">
        <v>6</v>
      </c>
      <c r="G612" s="2">
        <v>2779</v>
      </c>
      <c r="H612" s="2" t="str">
        <f>_xlfn.XLOOKUP(E612, Product_Master!A:A, Product_Master!B:B)</f>
        <v>Chair</v>
      </c>
      <c r="I612" s="2" t="str">
        <f>_xlfn.XLOOKUP(E612, Product_Master!A:A, Product_Master!C:C)</f>
        <v>Furniture</v>
      </c>
      <c r="J612" s="2">
        <f>_xlfn.XLOOKUP(E612, Product_Master!A:A, Product_Master!D:D)</f>
        <v>2500</v>
      </c>
      <c r="K612" s="2">
        <f t="shared" si="36"/>
        <v>16674</v>
      </c>
      <c r="L612" s="2">
        <f t="shared" si="37"/>
        <v>15000</v>
      </c>
      <c r="M612" s="2">
        <f t="shared" si="38"/>
        <v>1674</v>
      </c>
      <c r="N612" s="2">
        <f>_xlfn.XLOOKUP(D612, Sales_Rep_Master!A:A, Sales_Rep_Master!B:B)</f>
        <v>950000</v>
      </c>
      <c r="O612" s="4">
        <f t="shared" si="39"/>
        <v>1.7551578947368422E-2</v>
      </c>
    </row>
    <row r="613" spans="1:15" ht="15.75" x14ac:dyDescent="0.25">
      <c r="A613" s="3" t="s">
        <v>931</v>
      </c>
      <c r="B613" s="2" t="s">
        <v>368</v>
      </c>
      <c r="C613" s="2" t="s">
        <v>18</v>
      </c>
      <c r="D613" s="2" t="s">
        <v>37</v>
      </c>
      <c r="E613" s="2" t="s">
        <v>28</v>
      </c>
      <c r="F613" s="2">
        <v>6</v>
      </c>
      <c r="G613" s="2">
        <v>1669</v>
      </c>
      <c r="H613" s="2" t="str">
        <f>_xlfn.XLOOKUP(E613, Product_Master!A:A, Product_Master!B:B)</f>
        <v>Laptop</v>
      </c>
      <c r="I613" s="2" t="str">
        <f>_xlfn.XLOOKUP(E613, Product_Master!A:A, Product_Master!C:C)</f>
        <v>Electronics</v>
      </c>
      <c r="J613" s="2">
        <f>_xlfn.XLOOKUP(E613, Product_Master!A:A, Product_Master!D:D)</f>
        <v>35000</v>
      </c>
      <c r="K613" s="2">
        <f t="shared" si="36"/>
        <v>10014</v>
      </c>
      <c r="L613" s="2">
        <f t="shared" si="37"/>
        <v>210000</v>
      </c>
      <c r="M613" s="2">
        <f t="shared" si="38"/>
        <v>-199986</v>
      </c>
      <c r="N613" s="2">
        <f>_xlfn.XLOOKUP(D613, Sales_Rep_Master!A:A, Sales_Rep_Master!B:B)</f>
        <v>850000</v>
      </c>
      <c r="O613" s="4">
        <f t="shared" si="39"/>
        <v>1.1781176470588236E-2</v>
      </c>
    </row>
    <row r="614" spans="1:15" ht="15.75" hidden="1" x14ac:dyDescent="0.25">
      <c r="A614" s="3" t="s">
        <v>932</v>
      </c>
      <c r="B614" s="2" t="s">
        <v>460</v>
      </c>
      <c r="C614" s="2" t="s">
        <v>33</v>
      </c>
      <c r="D614" s="2" t="s">
        <v>27</v>
      </c>
      <c r="E614" s="2" t="s">
        <v>15</v>
      </c>
      <c r="F614" s="2">
        <v>12</v>
      </c>
      <c r="G614" s="2">
        <v>7755</v>
      </c>
      <c r="H614" s="2" t="str">
        <f>_xlfn.XLOOKUP(E614, Product_Master!A:A, Product_Master!B:B)</f>
        <v>Chair</v>
      </c>
      <c r="I614" s="2" t="str">
        <f>_xlfn.XLOOKUP(E614, Product_Master!A:A, Product_Master!C:C)</f>
        <v>Furniture</v>
      </c>
      <c r="J614" s="2">
        <f>_xlfn.XLOOKUP(E614, Product_Master!A:A, Product_Master!D:D)</f>
        <v>2500</v>
      </c>
      <c r="K614" s="2">
        <f t="shared" si="36"/>
        <v>93060</v>
      </c>
      <c r="L614" s="2">
        <f t="shared" si="37"/>
        <v>30000</v>
      </c>
      <c r="M614" s="2">
        <f t="shared" si="38"/>
        <v>63060</v>
      </c>
      <c r="N614" s="2">
        <f>_xlfn.XLOOKUP(D614, Sales_Rep_Master!A:A, Sales_Rep_Master!B:B)</f>
        <v>800000</v>
      </c>
      <c r="O614" s="4">
        <f t="shared" si="39"/>
        <v>0.116325</v>
      </c>
    </row>
    <row r="615" spans="1:15" ht="15.75" x14ac:dyDescent="0.25">
      <c r="A615" s="3" t="s">
        <v>933</v>
      </c>
      <c r="B615" s="2" t="s">
        <v>527</v>
      </c>
      <c r="C615" s="2" t="s">
        <v>33</v>
      </c>
      <c r="D615" s="2" t="s">
        <v>51</v>
      </c>
      <c r="E615" s="2" t="s">
        <v>28</v>
      </c>
      <c r="F615" s="2">
        <v>10</v>
      </c>
      <c r="G615" s="2">
        <v>4490</v>
      </c>
      <c r="H615" s="2" t="str">
        <f>_xlfn.XLOOKUP(E615, Product_Master!A:A, Product_Master!B:B)</f>
        <v>Laptop</v>
      </c>
      <c r="I615" s="2" t="str">
        <f>_xlfn.XLOOKUP(E615, Product_Master!A:A, Product_Master!C:C)</f>
        <v>Electronics</v>
      </c>
      <c r="J615" s="2">
        <f>_xlfn.XLOOKUP(E615, Product_Master!A:A, Product_Master!D:D)</f>
        <v>35000</v>
      </c>
      <c r="K615" s="2">
        <f t="shared" si="36"/>
        <v>44900</v>
      </c>
      <c r="L615" s="2">
        <f t="shared" si="37"/>
        <v>350000</v>
      </c>
      <c r="M615" s="2">
        <f t="shared" si="38"/>
        <v>-305100</v>
      </c>
      <c r="N615" s="2">
        <f>_xlfn.XLOOKUP(D615, Sales_Rep_Master!A:A, Sales_Rep_Master!B:B)</f>
        <v>900000</v>
      </c>
      <c r="O615" s="4">
        <f t="shared" si="39"/>
        <v>4.9888888888888892E-2</v>
      </c>
    </row>
    <row r="616" spans="1:15" ht="15.75" hidden="1" x14ac:dyDescent="0.25">
      <c r="A616" s="3" t="s">
        <v>934</v>
      </c>
      <c r="B616" s="2" t="s">
        <v>386</v>
      </c>
      <c r="C616" s="2" t="s">
        <v>18</v>
      </c>
      <c r="D616" s="2" t="s">
        <v>14</v>
      </c>
      <c r="E616" s="2" t="s">
        <v>40</v>
      </c>
      <c r="F616" s="2">
        <v>14</v>
      </c>
      <c r="G616" s="2">
        <v>5421</v>
      </c>
      <c r="H616" s="2" t="str">
        <f>_xlfn.XLOOKUP(E616, Product_Master!A:A, Product_Master!B:B)</f>
        <v>Table</v>
      </c>
      <c r="I616" s="2" t="str">
        <f>_xlfn.XLOOKUP(E616, Product_Master!A:A, Product_Master!C:C)</f>
        <v>Furniture</v>
      </c>
      <c r="J616" s="2">
        <f>_xlfn.XLOOKUP(E616, Product_Master!A:A, Product_Master!D:D)</f>
        <v>7000</v>
      </c>
      <c r="K616" s="2">
        <f t="shared" si="36"/>
        <v>75894</v>
      </c>
      <c r="L616" s="2">
        <f t="shared" si="37"/>
        <v>98000</v>
      </c>
      <c r="M616" s="2">
        <f t="shared" si="38"/>
        <v>-22106</v>
      </c>
      <c r="N616" s="2">
        <f>_xlfn.XLOOKUP(D616, Sales_Rep_Master!A:A, Sales_Rep_Master!B:B)</f>
        <v>880000</v>
      </c>
      <c r="O616" s="4">
        <f t="shared" si="39"/>
        <v>8.6243181818181816E-2</v>
      </c>
    </row>
    <row r="617" spans="1:15" ht="15.75" hidden="1" x14ac:dyDescent="0.25">
      <c r="A617" s="3" t="s">
        <v>935</v>
      </c>
      <c r="B617" s="2" t="s">
        <v>576</v>
      </c>
      <c r="C617" s="2" t="s">
        <v>26</v>
      </c>
      <c r="D617" s="2" t="s">
        <v>14</v>
      </c>
      <c r="E617" s="2" t="s">
        <v>40</v>
      </c>
      <c r="F617" s="2">
        <v>13</v>
      </c>
      <c r="G617" s="2">
        <v>1051</v>
      </c>
      <c r="H617" s="2" t="str">
        <f>_xlfn.XLOOKUP(E617, Product_Master!A:A, Product_Master!B:B)</f>
        <v>Table</v>
      </c>
      <c r="I617" s="2" t="str">
        <f>_xlfn.XLOOKUP(E617, Product_Master!A:A, Product_Master!C:C)</f>
        <v>Furniture</v>
      </c>
      <c r="J617" s="2">
        <f>_xlfn.XLOOKUP(E617, Product_Master!A:A, Product_Master!D:D)</f>
        <v>7000</v>
      </c>
      <c r="K617" s="2">
        <f t="shared" si="36"/>
        <v>13663</v>
      </c>
      <c r="L617" s="2">
        <f t="shared" si="37"/>
        <v>91000</v>
      </c>
      <c r="M617" s="2">
        <f t="shared" si="38"/>
        <v>-77337</v>
      </c>
      <c r="N617" s="2">
        <f>_xlfn.XLOOKUP(D617, Sales_Rep_Master!A:A, Sales_Rep_Master!B:B)</f>
        <v>880000</v>
      </c>
      <c r="O617" s="4">
        <f t="shared" si="39"/>
        <v>1.5526136363636363E-2</v>
      </c>
    </row>
    <row r="618" spans="1:15" ht="15.75" x14ac:dyDescent="0.25">
      <c r="A618" s="3" t="s">
        <v>936</v>
      </c>
      <c r="B618" s="2" t="s">
        <v>42</v>
      </c>
      <c r="C618" s="2" t="s">
        <v>18</v>
      </c>
      <c r="D618" s="2" t="s">
        <v>19</v>
      </c>
      <c r="E618" s="2" t="s">
        <v>28</v>
      </c>
      <c r="F618" s="2">
        <v>3</v>
      </c>
      <c r="G618" s="2">
        <v>1966</v>
      </c>
      <c r="H618" s="2" t="str">
        <f>_xlfn.XLOOKUP(E618, Product_Master!A:A, Product_Master!B:B)</f>
        <v>Laptop</v>
      </c>
      <c r="I618" s="2" t="str">
        <f>_xlfn.XLOOKUP(E618, Product_Master!A:A, Product_Master!C:C)</f>
        <v>Electronics</v>
      </c>
      <c r="J618" s="2">
        <f>_xlfn.XLOOKUP(E618, Product_Master!A:A, Product_Master!D:D)</f>
        <v>35000</v>
      </c>
      <c r="K618" s="2">
        <f t="shared" si="36"/>
        <v>5898</v>
      </c>
      <c r="L618" s="2">
        <f t="shared" si="37"/>
        <v>105000</v>
      </c>
      <c r="M618" s="2">
        <f t="shared" si="38"/>
        <v>-99102</v>
      </c>
      <c r="N618" s="2">
        <f>_xlfn.XLOOKUP(D618, Sales_Rep_Master!A:A, Sales_Rep_Master!B:B)</f>
        <v>950000</v>
      </c>
      <c r="O618" s="4">
        <f t="shared" si="39"/>
        <v>6.2084210526315792E-3</v>
      </c>
    </row>
    <row r="619" spans="1:15" ht="15.75" hidden="1" x14ac:dyDescent="0.25">
      <c r="A619" s="3" t="s">
        <v>937</v>
      </c>
      <c r="B619" s="2" t="s">
        <v>117</v>
      </c>
      <c r="C619" s="2" t="s">
        <v>33</v>
      </c>
      <c r="D619" s="2" t="s">
        <v>54</v>
      </c>
      <c r="E619" s="2" t="s">
        <v>40</v>
      </c>
      <c r="F619" s="2">
        <v>8</v>
      </c>
      <c r="G619" s="2">
        <v>5977</v>
      </c>
      <c r="H619" s="2" t="str">
        <f>_xlfn.XLOOKUP(E619, Product_Master!A:A, Product_Master!B:B)</f>
        <v>Table</v>
      </c>
      <c r="I619" s="2" t="str">
        <f>_xlfn.XLOOKUP(E619, Product_Master!A:A, Product_Master!C:C)</f>
        <v>Furniture</v>
      </c>
      <c r="J619" s="2">
        <f>_xlfn.XLOOKUP(E619, Product_Master!A:A, Product_Master!D:D)</f>
        <v>7000</v>
      </c>
      <c r="K619" s="2">
        <f t="shared" si="36"/>
        <v>47816</v>
      </c>
      <c r="L619" s="2">
        <f t="shared" si="37"/>
        <v>56000</v>
      </c>
      <c r="M619" s="2">
        <f t="shared" si="38"/>
        <v>-8184</v>
      </c>
      <c r="N619" s="2">
        <f>_xlfn.XLOOKUP(D619, Sales_Rep_Master!A:A, Sales_Rep_Master!B:B)</f>
        <v>890000</v>
      </c>
      <c r="O619" s="4">
        <f t="shared" si="39"/>
        <v>5.3725842696629215E-2</v>
      </c>
    </row>
    <row r="620" spans="1:15" ht="15.75" hidden="1" x14ac:dyDescent="0.25">
      <c r="A620" s="3" t="s">
        <v>938</v>
      </c>
      <c r="B620" s="2" t="s">
        <v>925</v>
      </c>
      <c r="C620" s="2" t="s">
        <v>26</v>
      </c>
      <c r="D620" s="2" t="s">
        <v>27</v>
      </c>
      <c r="E620" s="2" t="s">
        <v>61</v>
      </c>
      <c r="F620" s="2">
        <v>10</v>
      </c>
      <c r="G620" s="2">
        <v>2498</v>
      </c>
      <c r="H620" s="2" t="str">
        <f>_xlfn.XLOOKUP(E620, Product_Master!A:A, Product_Master!B:B)</f>
        <v>Shoes</v>
      </c>
      <c r="I620" s="2" t="str">
        <f>_xlfn.XLOOKUP(E620, Product_Master!A:A, Product_Master!C:C)</f>
        <v>Clothing</v>
      </c>
      <c r="J620" s="2">
        <f>_xlfn.XLOOKUP(E620, Product_Master!A:A, Product_Master!D:D)</f>
        <v>2000</v>
      </c>
      <c r="K620" s="2">
        <f t="shared" si="36"/>
        <v>24980</v>
      </c>
      <c r="L620" s="2">
        <f t="shared" si="37"/>
        <v>20000</v>
      </c>
      <c r="M620" s="2">
        <f t="shared" si="38"/>
        <v>4980</v>
      </c>
      <c r="N620" s="2">
        <f>_xlfn.XLOOKUP(D620, Sales_Rep_Master!A:A, Sales_Rep_Master!B:B)</f>
        <v>800000</v>
      </c>
      <c r="O620" s="4">
        <f t="shared" si="39"/>
        <v>3.1224999999999999E-2</v>
      </c>
    </row>
    <row r="621" spans="1:15" ht="15.75" hidden="1" x14ac:dyDescent="0.25">
      <c r="A621" s="3" t="s">
        <v>939</v>
      </c>
      <c r="B621" s="2" t="s">
        <v>696</v>
      </c>
      <c r="C621" s="2" t="s">
        <v>26</v>
      </c>
      <c r="D621" s="2" t="s">
        <v>152</v>
      </c>
      <c r="E621" s="2" t="s">
        <v>15</v>
      </c>
      <c r="F621" s="2">
        <v>4</v>
      </c>
      <c r="G621" s="2">
        <v>7082</v>
      </c>
      <c r="H621" s="2" t="str">
        <f>_xlfn.XLOOKUP(E621, Product_Master!A:A, Product_Master!B:B)</f>
        <v>Chair</v>
      </c>
      <c r="I621" s="2" t="str">
        <f>_xlfn.XLOOKUP(E621, Product_Master!A:A, Product_Master!C:C)</f>
        <v>Furniture</v>
      </c>
      <c r="J621" s="2">
        <f>_xlfn.XLOOKUP(E621, Product_Master!A:A, Product_Master!D:D)</f>
        <v>2500</v>
      </c>
      <c r="K621" s="2">
        <f t="shared" si="36"/>
        <v>28328</v>
      </c>
      <c r="L621" s="2">
        <f t="shared" si="37"/>
        <v>10000</v>
      </c>
      <c r="M621" s="2">
        <f t="shared" si="38"/>
        <v>18328</v>
      </c>
      <c r="N621" s="2">
        <f>_xlfn.XLOOKUP(D621, Sales_Rep_Master!A:A, Sales_Rep_Master!B:B)</f>
        <v>870000</v>
      </c>
      <c r="O621" s="4">
        <f t="shared" si="39"/>
        <v>3.2560919540229882E-2</v>
      </c>
    </row>
    <row r="622" spans="1:15" ht="15.75" x14ac:dyDescent="0.25">
      <c r="A622" s="3" t="s">
        <v>940</v>
      </c>
      <c r="B622" s="2" t="s">
        <v>320</v>
      </c>
      <c r="C622" s="2" t="s">
        <v>33</v>
      </c>
      <c r="D622" s="2" t="s">
        <v>27</v>
      </c>
      <c r="E622" s="2" t="s">
        <v>11</v>
      </c>
      <c r="F622" s="2">
        <v>10</v>
      </c>
      <c r="G622" s="2">
        <v>2636</v>
      </c>
      <c r="H622" s="2" t="str">
        <f>_xlfn.XLOOKUP(E622, Product_Master!A:A, Product_Master!B:B)</f>
        <v>Mobile</v>
      </c>
      <c r="I622" s="2" t="str">
        <f>_xlfn.XLOOKUP(E622, Product_Master!A:A, Product_Master!C:C)</f>
        <v>Electronics</v>
      </c>
      <c r="J622" s="2">
        <f>_xlfn.XLOOKUP(E622, Product_Master!A:A, Product_Master!D:D)</f>
        <v>18000</v>
      </c>
      <c r="K622" s="2">
        <f t="shared" si="36"/>
        <v>26360</v>
      </c>
      <c r="L622" s="2">
        <f t="shared" si="37"/>
        <v>180000</v>
      </c>
      <c r="M622" s="2">
        <f t="shared" si="38"/>
        <v>-153640</v>
      </c>
      <c r="N622" s="2">
        <f>_xlfn.XLOOKUP(D622, Sales_Rep_Master!A:A, Sales_Rep_Master!B:B)</f>
        <v>800000</v>
      </c>
      <c r="O622" s="4">
        <f t="shared" si="39"/>
        <v>3.295E-2</v>
      </c>
    </row>
    <row r="623" spans="1:15" ht="15.75" hidden="1" x14ac:dyDescent="0.25">
      <c r="A623" s="3" t="s">
        <v>941</v>
      </c>
      <c r="B623" s="2" t="s">
        <v>942</v>
      </c>
      <c r="C623" s="2" t="s">
        <v>18</v>
      </c>
      <c r="D623" s="2" t="s">
        <v>14</v>
      </c>
      <c r="E623" s="2" t="s">
        <v>34</v>
      </c>
      <c r="F623" s="2">
        <v>4</v>
      </c>
      <c r="G623" s="2">
        <v>2385</v>
      </c>
      <c r="H623" s="2" t="str">
        <f>_xlfn.XLOOKUP(E623, Product_Master!A:A, Product_Master!B:B)</f>
        <v>Jacket</v>
      </c>
      <c r="I623" s="2" t="str">
        <f>_xlfn.XLOOKUP(E623, Product_Master!A:A, Product_Master!C:C)</f>
        <v>Clothing</v>
      </c>
      <c r="J623" s="2">
        <f>_xlfn.XLOOKUP(E623, Product_Master!A:A, Product_Master!D:D)</f>
        <v>1500</v>
      </c>
      <c r="K623" s="2">
        <f t="shared" si="36"/>
        <v>9540</v>
      </c>
      <c r="L623" s="2">
        <f t="shared" si="37"/>
        <v>6000</v>
      </c>
      <c r="M623" s="2">
        <f t="shared" si="38"/>
        <v>3540</v>
      </c>
      <c r="N623" s="2">
        <f>_xlfn.XLOOKUP(D623, Sales_Rep_Master!A:A, Sales_Rep_Master!B:B)</f>
        <v>880000</v>
      </c>
      <c r="O623" s="4">
        <f t="shared" si="39"/>
        <v>1.084090909090909E-2</v>
      </c>
    </row>
    <row r="624" spans="1:15" ht="15.75" hidden="1" x14ac:dyDescent="0.25">
      <c r="A624" s="3" t="s">
        <v>943</v>
      </c>
      <c r="B624" s="2" t="s">
        <v>944</v>
      </c>
      <c r="C624" s="2" t="s">
        <v>33</v>
      </c>
      <c r="D624" s="2" t="s">
        <v>51</v>
      </c>
      <c r="E624" s="2" t="s">
        <v>40</v>
      </c>
      <c r="F624" s="2">
        <v>8</v>
      </c>
      <c r="G624" s="2">
        <v>1992</v>
      </c>
      <c r="H624" s="2" t="str">
        <f>_xlfn.XLOOKUP(E624, Product_Master!A:A, Product_Master!B:B)</f>
        <v>Table</v>
      </c>
      <c r="I624" s="2" t="str">
        <f>_xlfn.XLOOKUP(E624, Product_Master!A:A, Product_Master!C:C)</f>
        <v>Furniture</v>
      </c>
      <c r="J624" s="2">
        <f>_xlfn.XLOOKUP(E624, Product_Master!A:A, Product_Master!D:D)</f>
        <v>7000</v>
      </c>
      <c r="K624" s="2">
        <f t="shared" si="36"/>
        <v>15936</v>
      </c>
      <c r="L624" s="2">
        <f t="shared" si="37"/>
        <v>56000</v>
      </c>
      <c r="M624" s="2">
        <f t="shared" si="38"/>
        <v>-40064</v>
      </c>
      <c r="N624" s="2">
        <f>_xlfn.XLOOKUP(D624, Sales_Rep_Master!A:A, Sales_Rep_Master!B:B)</f>
        <v>900000</v>
      </c>
      <c r="O624" s="4">
        <f t="shared" si="39"/>
        <v>1.7706666666666666E-2</v>
      </c>
    </row>
    <row r="625" spans="1:15" ht="15.75" hidden="1" x14ac:dyDescent="0.25">
      <c r="A625" s="3" t="s">
        <v>945</v>
      </c>
      <c r="B625" s="2" t="s">
        <v>121</v>
      </c>
      <c r="C625" s="2" t="s">
        <v>18</v>
      </c>
      <c r="D625" s="2" t="s">
        <v>27</v>
      </c>
      <c r="E625" s="2" t="s">
        <v>40</v>
      </c>
      <c r="F625" s="2">
        <v>11</v>
      </c>
      <c r="G625" s="2">
        <v>2689</v>
      </c>
      <c r="H625" s="2" t="str">
        <f>_xlfn.XLOOKUP(E625, Product_Master!A:A, Product_Master!B:B)</f>
        <v>Table</v>
      </c>
      <c r="I625" s="2" t="str">
        <f>_xlfn.XLOOKUP(E625, Product_Master!A:A, Product_Master!C:C)</f>
        <v>Furniture</v>
      </c>
      <c r="J625" s="2">
        <f>_xlfn.XLOOKUP(E625, Product_Master!A:A, Product_Master!D:D)</f>
        <v>7000</v>
      </c>
      <c r="K625" s="2">
        <f t="shared" si="36"/>
        <v>29579</v>
      </c>
      <c r="L625" s="2">
        <f t="shared" si="37"/>
        <v>77000</v>
      </c>
      <c r="M625" s="2">
        <f t="shared" si="38"/>
        <v>-47421</v>
      </c>
      <c r="N625" s="2">
        <f>_xlfn.XLOOKUP(D625, Sales_Rep_Master!A:A, Sales_Rep_Master!B:B)</f>
        <v>800000</v>
      </c>
      <c r="O625" s="4">
        <f t="shared" si="39"/>
        <v>3.697375E-2</v>
      </c>
    </row>
    <row r="626" spans="1:15" ht="15.75" hidden="1" x14ac:dyDescent="0.25">
      <c r="A626" s="3" t="s">
        <v>946</v>
      </c>
      <c r="B626" s="2" t="s">
        <v>93</v>
      </c>
      <c r="C626" s="2" t="s">
        <v>18</v>
      </c>
      <c r="D626" s="2" t="s">
        <v>27</v>
      </c>
      <c r="E626" s="2" t="s">
        <v>15</v>
      </c>
      <c r="F626" s="2">
        <v>11</v>
      </c>
      <c r="G626" s="2">
        <v>6341</v>
      </c>
      <c r="H626" s="2" t="str">
        <f>_xlfn.XLOOKUP(E626, Product_Master!A:A, Product_Master!B:B)</f>
        <v>Chair</v>
      </c>
      <c r="I626" s="2" t="str">
        <f>_xlfn.XLOOKUP(E626, Product_Master!A:A, Product_Master!C:C)</f>
        <v>Furniture</v>
      </c>
      <c r="J626" s="2">
        <f>_xlfn.XLOOKUP(E626, Product_Master!A:A, Product_Master!D:D)</f>
        <v>2500</v>
      </c>
      <c r="K626" s="2">
        <f t="shared" si="36"/>
        <v>69751</v>
      </c>
      <c r="L626" s="2">
        <f t="shared" si="37"/>
        <v>27500</v>
      </c>
      <c r="M626" s="2">
        <f t="shared" si="38"/>
        <v>42251</v>
      </c>
      <c r="N626" s="2">
        <f>_xlfn.XLOOKUP(D626, Sales_Rep_Master!A:A, Sales_Rep_Master!B:B)</f>
        <v>800000</v>
      </c>
      <c r="O626" s="4">
        <f t="shared" si="39"/>
        <v>8.7188749999999995E-2</v>
      </c>
    </row>
    <row r="627" spans="1:15" ht="15.75" hidden="1" x14ac:dyDescent="0.25">
      <c r="A627" s="3" t="s">
        <v>947</v>
      </c>
      <c r="B627" s="2" t="s">
        <v>50</v>
      </c>
      <c r="C627" s="2" t="s">
        <v>18</v>
      </c>
      <c r="D627" s="2" t="s">
        <v>51</v>
      </c>
      <c r="E627" s="2" t="s">
        <v>34</v>
      </c>
      <c r="F627" s="2">
        <v>2</v>
      </c>
      <c r="G627" s="2">
        <v>6477</v>
      </c>
      <c r="H627" s="2" t="str">
        <f>_xlfn.XLOOKUP(E627, Product_Master!A:A, Product_Master!B:B)</f>
        <v>Jacket</v>
      </c>
      <c r="I627" s="2" t="str">
        <f>_xlfn.XLOOKUP(E627, Product_Master!A:A, Product_Master!C:C)</f>
        <v>Clothing</v>
      </c>
      <c r="J627" s="2">
        <f>_xlfn.XLOOKUP(E627, Product_Master!A:A, Product_Master!D:D)</f>
        <v>1500</v>
      </c>
      <c r="K627" s="2">
        <f t="shared" si="36"/>
        <v>12954</v>
      </c>
      <c r="L627" s="2">
        <f t="shared" si="37"/>
        <v>3000</v>
      </c>
      <c r="M627" s="2">
        <f t="shared" si="38"/>
        <v>9954</v>
      </c>
      <c r="N627" s="2">
        <f>_xlfn.XLOOKUP(D627, Sales_Rep_Master!A:A, Sales_Rep_Master!B:B)</f>
        <v>900000</v>
      </c>
      <c r="O627" s="4">
        <f t="shared" si="39"/>
        <v>1.4393333333333333E-2</v>
      </c>
    </row>
    <row r="628" spans="1:15" ht="15.75" x14ac:dyDescent="0.25">
      <c r="A628" s="3" t="s">
        <v>948</v>
      </c>
      <c r="B628" s="2" t="s">
        <v>949</v>
      </c>
      <c r="C628" s="2" t="s">
        <v>26</v>
      </c>
      <c r="D628" s="2" t="s">
        <v>27</v>
      </c>
      <c r="E628" s="2" t="s">
        <v>11</v>
      </c>
      <c r="F628" s="2">
        <v>5</v>
      </c>
      <c r="G628" s="2">
        <v>2664</v>
      </c>
      <c r="H628" s="2" t="str">
        <f>_xlfn.XLOOKUP(E628, Product_Master!A:A, Product_Master!B:B)</f>
        <v>Mobile</v>
      </c>
      <c r="I628" s="2" t="str">
        <f>_xlfn.XLOOKUP(E628, Product_Master!A:A, Product_Master!C:C)</f>
        <v>Electronics</v>
      </c>
      <c r="J628" s="2">
        <f>_xlfn.XLOOKUP(E628, Product_Master!A:A, Product_Master!D:D)</f>
        <v>18000</v>
      </c>
      <c r="K628" s="2">
        <f t="shared" si="36"/>
        <v>13320</v>
      </c>
      <c r="L628" s="2">
        <f t="shared" si="37"/>
        <v>90000</v>
      </c>
      <c r="M628" s="2">
        <f t="shared" si="38"/>
        <v>-76680</v>
      </c>
      <c r="N628" s="2">
        <f>_xlfn.XLOOKUP(D628, Sales_Rep_Master!A:A, Sales_Rep_Master!B:B)</f>
        <v>800000</v>
      </c>
      <c r="O628" s="4">
        <f t="shared" si="39"/>
        <v>1.6650000000000002E-2</v>
      </c>
    </row>
    <row r="629" spans="1:15" ht="15.75" x14ac:dyDescent="0.25">
      <c r="A629" s="3" t="s">
        <v>950</v>
      </c>
      <c r="B629" s="2" t="s">
        <v>166</v>
      </c>
      <c r="C629" s="2" t="s">
        <v>18</v>
      </c>
      <c r="D629" s="2" t="s">
        <v>27</v>
      </c>
      <c r="E629" s="2" t="s">
        <v>11</v>
      </c>
      <c r="F629" s="2">
        <v>1</v>
      </c>
      <c r="G629" s="2">
        <v>1939</v>
      </c>
      <c r="H629" s="2" t="str">
        <f>_xlfn.XLOOKUP(E629, Product_Master!A:A, Product_Master!B:B)</f>
        <v>Mobile</v>
      </c>
      <c r="I629" s="2" t="str">
        <f>_xlfn.XLOOKUP(E629, Product_Master!A:A, Product_Master!C:C)</f>
        <v>Electronics</v>
      </c>
      <c r="J629" s="2">
        <f>_xlfn.XLOOKUP(E629, Product_Master!A:A, Product_Master!D:D)</f>
        <v>18000</v>
      </c>
      <c r="K629" s="2">
        <f t="shared" si="36"/>
        <v>1939</v>
      </c>
      <c r="L629" s="2">
        <f t="shared" si="37"/>
        <v>18000</v>
      </c>
      <c r="M629" s="2">
        <f t="shared" si="38"/>
        <v>-16061</v>
      </c>
      <c r="N629" s="2">
        <f>_xlfn.XLOOKUP(D629, Sales_Rep_Master!A:A, Sales_Rep_Master!B:B)</f>
        <v>800000</v>
      </c>
      <c r="O629" s="4">
        <f t="shared" si="39"/>
        <v>2.4237500000000001E-3</v>
      </c>
    </row>
    <row r="630" spans="1:15" ht="15.75" hidden="1" x14ac:dyDescent="0.25">
      <c r="A630" s="3" t="s">
        <v>951</v>
      </c>
      <c r="B630" s="2" t="s">
        <v>592</v>
      </c>
      <c r="C630" s="2" t="s">
        <v>18</v>
      </c>
      <c r="D630" s="2" t="s">
        <v>54</v>
      </c>
      <c r="E630" s="2" t="s">
        <v>61</v>
      </c>
      <c r="F630" s="2">
        <v>3</v>
      </c>
      <c r="G630" s="2">
        <v>2987</v>
      </c>
      <c r="H630" s="2" t="str">
        <f>_xlfn.XLOOKUP(E630, Product_Master!A:A, Product_Master!B:B)</f>
        <v>Shoes</v>
      </c>
      <c r="I630" s="2" t="str">
        <f>_xlfn.XLOOKUP(E630, Product_Master!A:A, Product_Master!C:C)</f>
        <v>Clothing</v>
      </c>
      <c r="J630" s="2">
        <f>_xlfn.XLOOKUP(E630, Product_Master!A:A, Product_Master!D:D)</f>
        <v>2000</v>
      </c>
      <c r="K630" s="2">
        <f t="shared" si="36"/>
        <v>8961</v>
      </c>
      <c r="L630" s="2">
        <f t="shared" si="37"/>
        <v>6000</v>
      </c>
      <c r="M630" s="2">
        <f t="shared" si="38"/>
        <v>2961</v>
      </c>
      <c r="N630" s="2">
        <f>_xlfn.XLOOKUP(D630, Sales_Rep_Master!A:A, Sales_Rep_Master!B:B)</f>
        <v>890000</v>
      </c>
      <c r="O630" s="4">
        <f t="shared" si="39"/>
        <v>1.0068539325842696E-2</v>
      </c>
    </row>
    <row r="631" spans="1:15" ht="15.75" x14ac:dyDescent="0.25">
      <c r="A631" s="3" t="s">
        <v>952</v>
      </c>
      <c r="B631" s="2" t="s">
        <v>863</v>
      </c>
      <c r="C631" s="2" t="s">
        <v>33</v>
      </c>
      <c r="D631" s="2" t="s">
        <v>27</v>
      </c>
      <c r="E631" s="2" t="s">
        <v>28</v>
      </c>
      <c r="F631" s="2">
        <v>13</v>
      </c>
      <c r="G631" s="2">
        <v>1365</v>
      </c>
      <c r="H631" s="2" t="str">
        <f>_xlfn.XLOOKUP(E631, Product_Master!A:A, Product_Master!B:B)</f>
        <v>Laptop</v>
      </c>
      <c r="I631" s="2" t="str">
        <f>_xlfn.XLOOKUP(E631, Product_Master!A:A, Product_Master!C:C)</f>
        <v>Electronics</v>
      </c>
      <c r="J631" s="2">
        <f>_xlfn.XLOOKUP(E631, Product_Master!A:A, Product_Master!D:D)</f>
        <v>35000</v>
      </c>
      <c r="K631" s="2">
        <f t="shared" si="36"/>
        <v>17745</v>
      </c>
      <c r="L631" s="2">
        <f t="shared" si="37"/>
        <v>455000</v>
      </c>
      <c r="M631" s="2">
        <f t="shared" si="38"/>
        <v>-437255</v>
      </c>
      <c r="N631" s="2">
        <f>_xlfn.XLOOKUP(D631, Sales_Rep_Master!A:A, Sales_Rep_Master!B:B)</f>
        <v>800000</v>
      </c>
      <c r="O631" s="4">
        <f t="shared" si="39"/>
        <v>2.218125E-2</v>
      </c>
    </row>
    <row r="632" spans="1:15" ht="15.75" x14ac:dyDescent="0.25">
      <c r="A632" s="3" t="s">
        <v>953</v>
      </c>
      <c r="B632" s="2" t="s">
        <v>311</v>
      </c>
      <c r="C632" s="2" t="s">
        <v>33</v>
      </c>
      <c r="D632" s="2" t="s">
        <v>54</v>
      </c>
      <c r="E632" s="2" t="s">
        <v>20</v>
      </c>
      <c r="F632" s="2">
        <v>5</v>
      </c>
      <c r="G632" s="2">
        <v>7933</v>
      </c>
      <c r="H632" s="2" t="str">
        <f>_xlfn.XLOOKUP(E632, Product_Master!A:A, Product_Master!B:B)</f>
        <v>Headphones</v>
      </c>
      <c r="I632" s="2" t="str">
        <f>_xlfn.XLOOKUP(E632, Product_Master!A:A, Product_Master!C:C)</f>
        <v>Electronics</v>
      </c>
      <c r="J632" s="2">
        <f>_xlfn.XLOOKUP(E632, Product_Master!A:A, Product_Master!D:D)</f>
        <v>2000</v>
      </c>
      <c r="K632" s="2">
        <f t="shared" si="36"/>
        <v>39665</v>
      </c>
      <c r="L632" s="2">
        <f t="shared" si="37"/>
        <v>10000</v>
      </c>
      <c r="M632" s="2">
        <f t="shared" si="38"/>
        <v>29665</v>
      </c>
      <c r="N632" s="2">
        <f>_xlfn.XLOOKUP(D632, Sales_Rep_Master!A:A, Sales_Rep_Master!B:B)</f>
        <v>890000</v>
      </c>
      <c r="O632" s="4">
        <f t="shared" si="39"/>
        <v>4.4567415730337082E-2</v>
      </c>
    </row>
    <row r="633" spans="1:15" ht="15.75" hidden="1" x14ac:dyDescent="0.25">
      <c r="A633" s="3" t="s">
        <v>954</v>
      </c>
      <c r="B633" s="2" t="s">
        <v>87</v>
      </c>
      <c r="C633" s="2" t="s">
        <v>26</v>
      </c>
      <c r="D633" s="2" t="s">
        <v>10</v>
      </c>
      <c r="E633" s="2" t="s">
        <v>23</v>
      </c>
      <c r="F633" s="2">
        <v>3</v>
      </c>
      <c r="G633" s="2">
        <v>7770</v>
      </c>
      <c r="H633" s="2" t="str">
        <f>_xlfn.XLOOKUP(E633, Product_Master!A:A, Product_Master!B:B)</f>
        <v>Sofa</v>
      </c>
      <c r="I633" s="2" t="str">
        <f>_xlfn.XLOOKUP(E633, Product_Master!A:A, Product_Master!C:C)</f>
        <v>Furniture</v>
      </c>
      <c r="J633" s="2">
        <f>_xlfn.XLOOKUP(E633, Product_Master!A:A, Product_Master!D:D)</f>
        <v>15000</v>
      </c>
      <c r="K633" s="2">
        <f t="shared" si="36"/>
        <v>23310</v>
      </c>
      <c r="L633" s="2">
        <f t="shared" si="37"/>
        <v>45000</v>
      </c>
      <c r="M633" s="2">
        <f t="shared" si="38"/>
        <v>-21690</v>
      </c>
      <c r="N633" s="2">
        <f>_xlfn.XLOOKUP(D633, Sales_Rep_Master!A:A, Sales_Rep_Master!B:B)</f>
        <v>920000</v>
      </c>
      <c r="O633" s="4">
        <f t="shared" si="39"/>
        <v>2.5336956521739132E-2</v>
      </c>
    </row>
    <row r="634" spans="1:15" ht="15.75" hidden="1" x14ac:dyDescent="0.25">
      <c r="A634" s="3" t="s">
        <v>955</v>
      </c>
      <c r="B634" s="2" t="s">
        <v>39</v>
      </c>
      <c r="C634" s="2" t="s">
        <v>9</v>
      </c>
      <c r="D634" s="2" t="s">
        <v>51</v>
      </c>
      <c r="E634" s="2" t="s">
        <v>61</v>
      </c>
      <c r="F634" s="2">
        <v>2</v>
      </c>
      <c r="G634" s="2">
        <v>3885</v>
      </c>
      <c r="H634" s="2" t="str">
        <f>_xlfn.XLOOKUP(E634, Product_Master!A:A, Product_Master!B:B)</f>
        <v>Shoes</v>
      </c>
      <c r="I634" s="2" t="str">
        <f>_xlfn.XLOOKUP(E634, Product_Master!A:A, Product_Master!C:C)</f>
        <v>Clothing</v>
      </c>
      <c r="J634" s="2">
        <f>_xlfn.XLOOKUP(E634, Product_Master!A:A, Product_Master!D:D)</f>
        <v>2000</v>
      </c>
      <c r="K634" s="2">
        <f t="shared" si="36"/>
        <v>7770</v>
      </c>
      <c r="L634" s="2">
        <f t="shared" si="37"/>
        <v>4000</v>
      </c>
      <c r="M634" s="2">
        <f t="shared" si="38"/>
        <v>3770</v>
      </c>
      <c r="N634" s="2">
        <f>_xlfn.XLOOKUP(D634, Sales_Rep_Master!A:A, Sales_Rep_Master!B:B)</f>
        <v>900000</v>
      </c>
      <c r="O634" s="4">
        <f t="shared" si="39"/>
        <v>8.6333333333333331E-3</v>
      </c>
    </row>
    <row r="635" spans="1:15" ht="15.75" hidden="1" x14ac:dyDescent="0.25">
      <c r="A635" s="3" t="s">
        <v>956</v>
      </c>
      <c r="B635" s="2" t="s">
        <v>660</v>
      </c>
      <c r="C635" s="2" t="s">
        <v>9</v>
      </c>
      <c r="D635" s="2" t="s">
        <v>51</v>
      </c>
      <c r="E635" s="2" t="s">
        <v>61</v>
      </c>
      <c r="F635" s="2">
        <v>14</v>
      </c>
      <c r="G635" s="2">
        <v>2735</v>
      </c>
      <c r="H635" s="2" t="str">
        <f>_xlfn.XLOOKUP(E635, Product_Master!A:A, Product_Master!B:B)</f>
        <v>Shoes</v>
      </c>
      <c r="I635" s="2" t="str">
        <f>_xlfn.XLOOKUP(E635, Product_Master!A:A, Product_Master!C:C)</f>
        <v>Clothing</v>
      </c>
      <c r="J635" s="2">
        <f>_xlfn.XLOOKUP(E635, Product_Master!A:A, Product_Master!D:D)</f>
        <v>2000</v>
      </c>
      <c r="K635" s="2">
        <f t="shared" si="36"/>
        <v>38290</v>
      </c>
      <c r="L635" s="2">
        <f t="shared" si="37"/>
        <v>28000</v>
      </c>
      <c r="M635" s="2">
        <f t="shared" si="38"/>
        <v>10290</v>
      </c>
      <c r="N635" s="2">
        <f>_xlfn.XLOOKUP(D635, Sales_Rep_Master!A:A, Sales_Rep_Master!B:B)</f>
        <v>900000</v>
      </c>
      <c r="O635" s="4">
        <f t="shared" si="39"/>
        <v>4.2544444444444447E-2</v>
      </c>
    </row>
    <row r="636" spans="1:15" ht="15.75" x14ac:dyDescent="0.25">
      <c r="A636" s="3" t="s">
        <v>957</v>
      </c>
      <c r="B636" s="2" t="s">
        <v>511</v>
      </c>
      <c r="C636" s="2" t="s">
        <v>33</v>
      </c>
      <c r="D636" s="2" t="s">
        <v>37</v>
      </c>
      <c r="E636" s="2" t="s">
        <v>11</v>
      </c>
      <c r="F636" s="2">
        <v>5</v>
      </c>
      <c r="G636" s="2">
        <v>4575</v>
      </c>
      <c r="H636" s="2" t="str">
        <f>_xlfn.XLOOKUP(E636, Product_Master!A:A, Product_Master!B:B)</f>
        <v>Mobile</v>
      </c>
      <c r="I636" s="2" t="str">
        <f>_xlfn.XLOOKUP(E636, Product_Master!A:A, Product_Master!C:C)</f>
        <v>Electronics</v>
      </c>
      <c r="J636" s="2">
        <f>_xlfn.XLOOKUP(E636, Product_Master!A:A, Product_Master!D:D)</f>
        <v>18000</v>
      </c>
      <c r="K636" s="2">
        <f t="shared" si="36"/>
        <v>22875</v>
      </c>
      <c r="L636" s="2">
        <f t="shared" si="37"/>
        <v>90000</v>
      </c>
      <c r="M636" s="2">
        <f t="shared" si="38"/>
        <v>-67125</v>
      </c>
      <c r="N636" s="2">
        <f>_xlfn.XLOOKUP(D636, Sales_Rep_Master!A:A, Sales_Rep_Master!B:B)</f>
        <v>850000</v>
      </c>
      <c r="O636" s="4">
        <f t="shared" si="39"/>
        <v>2.6911764705882354E-2</v>
      </c>
    </row>
    <row r="637" spans="1:15" ht="15.75" x14ac:dyDescent="0.25">
      <c r="A637" s="3" t="s">
        <v>958</v>
      </c>
      <c r="B637" s="2" t="s">
        <v>222</v>
      </c>
      <c r="C637" s="2" t="s">
        <v>26</v>
      </c>
      <c r="D637" s="2" t="s">
        <v>14</v>
      </c>
      <c r="E637" s="2" t="s">
        <v>28</v>
      </c>
      <c r="F637" s="2">
        <v>4</v>
      </c>
      <c r="G637" s="2">
        <v>1366</v>
      </c>
      <c r="H637" s="2" t="str">
        <f>_xlfn.XLOOKUP(E637, Product_Master!A:A, Product_Master!B:B)</f>
        <v>Laptop</v>
      </c>
      <c r="I637" s="2" t="str">
        <f>_xlfn.XLOOKUP(E637, Product_Master!A:A, Product_Master!C:C)</f>
        <v>Electronics</v>
      </c>
      <c r="J637" s="2">
        <f>_xlfn.XLOOKUP(E637, Product_Master!A:A, Product_Master!D:D)</f>
        <v>35000</v>
      </c>
      <c r="K637" s="2">
        <f t="shared" si="36"/>
        <v>5464</v>
      </c>
      <c r="L637" s="2">
        <f t="shared" si="37"/>
        <v>140000</v>
      </c>
      <c r="M637" s="2">
        <f t="shared" si="38"/>
        <v>-134536</v>
      </c>
      <c r="N637" s="2">
        <f>_xlfn.XLOOKUP(D637, Sales_Rep_Master!A:A, Sales_Rep_Master!B:B)</f>
        <v>880000</v>
      </c>
      <c r="O637" s="4">
        <f t="shared" si="39"/>
        <v>6.2090909090909089E-3</v>
      </c>
    </row>
    <row r="638" spans="1:15" ht="15.75" hidden="1" x14ac:dyDescent="0.25">
      <c r="A638" s="3" t="s">
        <v>959</v>
      </c>
      <c r="B638" s="2" t="s">
        <v>85</v>
      </c>
      <c r="C638" s="2" t="s">
        <v>18</v>
      </c>
      <c r="D638" s="2" t="s">
        <v>27</v>
      </c>
      <c r="E638" s="2" t="s">
        <v>34</v>
      </c>
      <c r="F638" s="2">
        <v>13</v>
      </c>
      <c r="G638" s="2">
        <v>3401</v>
      </c>
      <c r="H638" s="2" t="str">
        <f>_xlfn.XLOOKUP(E638, Product_Master!A:A, Product_Master!B:B)</f>
        <v>Jacket</v>
      </c>
      <c r="I638" s="2" t="str">
        <f>_xlfn.XLOOKUP(E638, Product_Master!A:A, Product_Master!C:C)</f>
        <v>Clothing</v>
      </c>
      <c r="J638" s="2">
        <f>_xlfn.XLOOKUP(E638, Product_Master!A:A, Product_Master!D:D)</f>
        <v>1500</v>
      </c>
      <c r="K638" s="2">
        <f t="shared" si="36"/>
        <v>44213</v>
      </c>
      <c r="L638" s="2">
        <f t="shared" si="37"/>
        <v>19500</v>
      </c>
      <c r="M638" s="2">
        <f t="shared" si="38"/>
        <v>24713</v>
      </c>
      <c r="N638" s="2">
        <f>_xlfn.XLOOKUP(D638, Sales_Rep_Master!A:A, Sales_Rep_Master!B:B)</f>
        <v>800000</v>
      </c>
      <c r="O638" s="4">
        <f t="shared" si="39"/>
        <v>5.5266250000000003E-2</v>
      </c>
    </row>
    <row r="639" spans="1:15" ht="15.75" hidden="1" x14ac:dyDescent="0.25">
      <c r="A639" s="3" t="s">
        <v>960</v>
      </c>
      <c r="B639" s="2" t="s">
        <v>46</v>
      </c>
      <c r="C639" s="2" t="s">
        <v>33</v>
      </c>
      <c r="D639" s="2" t="s">
        <v>14</v>
      </c>
      <c r="E639" s="2" t="s">
        <v>61</v>
      </c>
      <c r="F639" s="2">
        <v>5</v>
      </c>
      <c r="G639" s="2">
        <v>1020</v>
      </c>
      <c r="H639" s="2" t="str">
        <f>_xlfn.XLOOKUP(E639, Product_Master!A:A, Product_Master!B:B)</f>
        <v>Shoes</v>
      </c>
      <c r="I639" s="2" t="str">
        <f>_xlfn.XLOOKUP(E639, Product_Master!A:A, Product_Master!C:C)</f>
        <v>Clothing</v>
      </c>
      <c r="J639" s="2">
        <f>_xlfn.XLOOKUP(E639, Product_Master!A:A, Product_Master!D:D)</f>
        <v>2000</v>
      </c>
      <c r="K639" s="2">
        <f t="shared" si="36"/>
        <v>5100</v>
      </c>
      <c r="L639" s="2">
        <f t="shared" si="37"/>
        <v>10000</v>
      </c>
      <c r="M639" s="2">
        <f t="shared" si="38"/>
        <v>-4900</v>
      </c>
      <c r="N639" s="2">
        <f>_xlfn.XLOOKUP(D639, Sales_Rep_Master!A:A, Sales_Rep_Master!B:B)</f>
        <v>880000</v>
      </c>
      <c r="O639" s="4">
        <f t="shared" si="39"/>
        <v>5.7954545454545455E-3</v>
      </c>
    </row>
    <row r="640" spans="1:15" ht="15.75" x14ac:dyDescent="0.25">
      <c r="A640" s="3" t="s">
        <v>961</v>
      </c>
      <c r="B640" s="2" t="s">
        <v>323</v>
      </c>
      <c r="C640" s="2" t="s">
        <v>18</v>
      </c>
      <c r="D640" s="2" t="s">
        <v>10</v>
      </c>
      <c r="E640" s="2" t="s">
        <v>11</v>
      </c>
      <c r="F640" s="2">
        <v>14</v>
      </c>
      <c r="G640" s="2">
        <v>5197</v>
      </c>
      <c r="H640" s="2" t="str">
        <f>_xlfn.XLOOKUP(E640, Product_Master!A:A, Product_Master!B:B)</f>
        <v>Mobile</v>
      </c>
      <c r="I640" s="2" t="str">
        <f>_xlfn.XLOOKUP(E640, Product_Master!A:A, Product_Master!C:C)</f>
        <v>Electronics</v>
      </c>
      <c r="J640" s="2">
        <f>_xlfn.XLOOKUP(E640, Product_Master!A:A, Product_Master!D:D)</f>
        <v>18000</v>
      </c>
      <c r="K640" s="2">
        <f t="shared" si="36"/>
        <v>72758</v>
      </c>
      <c r="L640" s="2">
        <f t="shared" si="37"/>
        <v>252000</v>
      </c>
      <c r="M640" s="2">
        <f t="shared" si="38"/>
        <v>-179242</v>
      </c>
      <c r="N640" s="2">
        <f>_xlfn.XLOOKUP(D640, Sales_Rep_Master!A:A, Sales_Rep_Master!B:B)</f>
        <v>920000</v>
      </c>
      <c r="O640" s="4">
        <f t="shared" si="39"/>
        <v>7.9084782608695656E-2</v>
      </c>
    </row>
    <row r="641" spans="1:15" ht="15.75" hidden="1" x14ac:dyDescent="0.25">
      <c r="A641" s="3" t="s">
        <v>962</v>
      </c>
      <c r="B641" s="2" t="s">
        <v>96</v>
      </c>
      <c r="C641" s="2" t="s">
        <v>9</v>
      </c>
      <c r="D641" s="2" t="s">
        <v>27</v>
      </c>
      <c r="E641" s="2" t="s">
        <v>40</v>
      </c>
      <c r="F641" s="2">
        <v>2</v>
      </c>
      <c r="G641" s="2">
        <v>1036</v>
      </c>
      <c r="H641" s="2" t="str">
        <f>_xlfn.XLOOKUP(E641, Product_Master!A:A, Product_Master!B:B)</f>
        <v>Table</v>
      </c>
      <c r="I641" s="2" t="str">
        <f>_xlfn.XLOOKUP(E641, Product_Master!A:A, Product_Master!C:C)</f>
        <v>Furniture</v>
      </c>
      <c r="J641" s="2">
        <f>_xlfn.XLOOKUP(E641, Product_Master!A:A, Product_Master!D:D)</f>
        <v>7000</v>
      </c>
      <c r="K641" s="2">
        <f t="shared" si="36"/>
        <v>2072</v>
      </c>
      <c r="L641" s="2">
        <f t="shared" si="37"/>
        <v>14000</v>
      </c>
      <c r="M641" s="2">
        <f t="shared" si="38"/>
        <v>-11928</v>
      </c>
      <c r="N641" s="2">
        <f>_xlfn.XLOOKUP(D641, Sales_Rep_Master!A:A, Sales_Rep_Master!B:B)</f>
        <v>800000</v>
      </c>
      <c r="O641" s="4">
        <f t="shared" si="39"/>
        <v>2.5899999999999999E-3</v>
      </c>
    </row>
    <row r="642" spans="1:15" ht="15.75" x14ac:dyDescent="0.25">
      <c r="A642" s="3" t="s">
        <v>963</v>
      </c>
      <c r="B642" s="2" t="s">
        <v>592</v>
      </c>
      <c r="C642" s="2" t="s">
        <v>18</v>
      </c>
      <c r="D642" s="2" t="s">
        <v>14</v>
      </c>
      <c r="E642" s="2" t="s">
        <v>20</v>
      </c>
      <c r="F642" s="2">
        <v>8</v>
      </c>
      <c r="G642" s="2">
        <v>7784</v>
      </c>
      <c r="H642" s="2" t="str">
        <f>_xlfn.XLOOKUP(E642, Product_Master!A:A, Product_Master!B:B)</f>
        <v>Headphones</v>
      </c>
      <c r="I642" s="2" t="str">
        <f>_xlfn.XLOOKUP(E642, Product_Master!A:A, Product_Master!C:C)</f>
        <v>Electronics</v>
      </c>
      <c r="J642" s="2">
        <f>_xlfn.XLOOKUP(E642, Product_Master!A:A, Product_Master!D:D)</f>
        <v>2000</v>
      </c>
      <c r="K642" s="2">
        <f t="shared" ref="K642:K651" si="40">F642*G642</f>
        <v>62272</v>
      </c>
      <c r="L642" s="2">
        <f t="shared" ref="L642:L651" si="41">F642*J642</f>
        <v>16000</v>
      </c>
      <c r="M642" s="2">
        <f t="shared" ref="M642:M651" si="42">K642-L642</f>
        <v>46272</v>
      </c>
      <c r="N642" s="2">
        <f>_xlfn.XLOOKUP(D642, Sales_Rep_Master!A:A, Sales_Rep_Master!B:B)</f>
        <v>880000</v>
      </c>
      <c r="O642" s="4">
        <f t="shared" ref="O642:O651" si="43">K642/N642</f>
        <v>7.0763636363636362E-2</v>
      </c>
    </row>
    <row r="643" spans="1:15" ht="15.75" x14ac:dyDescent="0.25">
      <c r="A643" s="3" t="s">
        <v>964</v>
      </c>
      <c r="B643" s="2" t="s">
        <v>581</v>
      </c>
      <c r="C643" s="2" t="s">
        <v>26</v>
      </c>
      <c r="D643" s="2" t="s">
        <v>19</v>
      </c>
      <c r="E643" s="2" t="s">
        <v>28</v>
      </c>
      <c r="F643" s="2">
        <v>14</v>
      </c>
      <c r="G643" s="2">
        <v>4243</v>
      </c>
      <c r="H643" s="2" t="str">
        <f>_xlfn.XLOOKUP(E643, Product_Master!A:A, Product_Master!B:B)</f>
        <v>Laptop</v>
      </c>
      <c r="I643" s="2" t="str">
        <f>_xlfn.XLOOKUP(E643, Product_Master!A:A, Product_Master!C:C)</f>
        <v>Electronics</v>
      </c>
      <c r="J643" s="2">
        <f>_xlfn.XLOOKUP(E643, Product_Master!A:A, Product_Master!D:D)</f>
        <v>35000</v>
      </c>
      <c r="K643" s="2">
        <f t="shared" si="40"/>
        <v>59402</v>
      </c>
      <c r="L643" s="2">
        <f t="shared" si="41"/>
        <v>490000</v>
      </c>
      <c r="M643" s="2">
        <f t="shared" si="42"/>
        <v>-430598</v>
      </c>
      <c r="N643" s="2">
        <f>_xlfn.XLOOKUP(D643, Sales_Rep_Master!A:A, Sales_Rep_Master!B:B)</f>
        <v>950000</v>
      </c>
      <c r="O643" s="4">
        <f t="shared" si="43"/>
        <v>6.252842105263158E-2</v>
      </c>
    </row>
    <row r="644" spans="1:15" ht="15.75" hidden="1" x14ac:dyDescent="0.25">
      <c r="A644" s="3" t="s">
        <v>965</v>
      </c>
      <c r="B644" s="2" t="s">
        <v>649</v>
      </c>
      <c r="C644" s="2" t="s">
        <v>26</v>
      </c>
      <c r="D644" s="2" t="s">
        <v>19</v>
      </c>
      <c r="E644" s="2" t="s">
        <v>61</v>
      </c>
      <c r="F644" s="2">
        <v>13</v>
      </c>
      <c r="G644" s="2">
        <v>4917</v>
      </c>
      <c r="H644" s="2" t="str">
        <f>_xlfn.XLOOKUP(E644, Product_Master!A:A, Product_Master!B:B)</f>
        <v>Shoes</v>
      </c>
      <c r="I644" s="2" t="str">
        <f>_xlfn.XLOOKUP(E644, Product_Master!A:A, Product_Master!C:C)</f>
        <v>Clothing</v>
      </c>
      <c r="J644" s="2">
        <f>_xlfn.XLOOKUP(E644, Product_Master!A:A, Product_Master!D:D)</f>
        <v>2000</v>
      </c>
      <c r="K644" s="2">
        <f t="shared" si="40"/>
        <v>63921</v>
      </c>
      <c r="L644" s="2">
        <f t="shared" si="41"/>
        <v>26000</v>
      </c>
      <c r="M644" s="2">
        <f t="shared" si="42"/>
        <v>37921</v>
      </c>
      <c r="N644" s="2">
        <f>_xlfn.XLOOKUP(D644, Sales_Rep_Master!A:A, Sales_Rep_Master!B:B)</f>
        <v>950000</v>
      </c>
      <c r="O644" s="4">
        <f t="shared" si="43"/>
        <v>6.7285263157894737E-2</v>
      </c>
    </row>
    <row r="645" spans="1:15" ht="15.75" hidden="1" x14ac:dyDescent="0.25">
      <c r="A645" s="3" t="s">
        <v>966</v>
      </c>
      <c r="B645" s="2" t="s">
        <v>270</v>
      </c>
      <c r="C645" s="2" t="s">
        <v>9</v>
      </c>
      <c r="D645" s="2" t="s">
        <v>27</v>
      </c>
      <c r="E645" s="2" t="s">
        <v>40</v>
      </c>
      <c r="F645" s="2">
        <v>10</v>
      </c>
      <c r="G645" s="2">
        <v>4996</v>
      </c>
      <c r="H645" s="2" t="str">
        <f>_xlfn.XLOOKUP(E645, Product_Master!A:A, Product_Master!B:B)</f>
        <v>Table</v>
      </c>
      <c r="I645" s="2" t="str">
        <f>_xlfn.XLOOKUP(E645, Product_Master!A:A, Product_Master!C:C)</f>
        <v>Furniture</v>
      </c>
      <c r="J645" s="2">
        <f>_xlfn.XLOOKUP(E645, Product_Master!A:A, Product_Master!D:D)</f>
        <v>7000</v>
      </c>
      <c r="K645" s="2">
        <f t="shared" si="40"/>
        <v>49960</v>
      </c>
      <c r="L645" s="2">
        <f t="shared" si="41"/>
        <v>70000</v>
      </c>
      <c r="M645" s="2">
        <f t="shared" si="42"/>
        <v>-20040</v>
      </c>
      <c r="N645" s="2">
        <f>_xlfn.XLOOKUP(D645, Sales_Rep_Master!A:A, Sales_Rep_Master!B:B)</f>
        <v>800000</v>
      </c>
      <c r="O645" s="4">
        <f t="shared" si="43"/>
        <v>6.2449999999999999E-2</v>
      </c>
    </row>
    <row r="646" spans="1:15" ht="15.75" hidden="1" x14ac:dyDescent="0.25">
      <c r="A646" s="3" t="s">
        <v>967</v>
      </c>
      <c r="B646" s="2" t="s">
        <v>273</v>
      </c>
      <c r="C646" s="2" t="s">
        <v>18</v>
      </c>
      <c r="D646" s="2" t="s">
        <v>54</v>
      </c>
      <c r="E646" s="2" t="s">
        <v>15</v>
      </c>
      <c r="F646" s="2">
        <v>11</v>
      </c>
      <c r="G646" s="2">
        <v>7363</v>
      </c>
      <c r="H646" s="2" t="str">
        <f>_xlfn.XLOOKUP(E646, Product_Master!A:A, Product_Master!B:B)</f>
        <v>Chair</v>
      </c>
      <c r="I646" s="2" t="str">
        <f>_xlfn.XLOOKUP(E646, Product_Master!A:A, Product_Master!C:C)</f>
        <v>Furniture</v>
      </c>
      <c r="J646" s="2">
        <f>_xlfn.XLOOKUP(E646, Product_Master!A:A, Product_Master!D:D)</f>
        <v>2500</v>
      </c>
      <c r="K646" s="2">
        <f t="shared" si="40"/>
        <v>80993</v>
      </c>
      <c r="L646" s="2">
        <f t="shared" si="41"/>
        <v>27500</v>
      </c>
      <c r="M646" s="2">
        <f t="shared" si="42"/>
        <v>53493</v>
      </c>
      <c r="N646" s="2">
        <f>_xlfn.XLOOKUP(D646, Sales_Rep_Master!A:A, Sales_Rep_Master!B:B)</f>
        <v>890000</v>
      </c>
      <c r="O646" s="4">
        <f t="shared" si="43"/>
        <v>9.1003370786516852E-2</v>
      </c>
    </row>
    <row r="647" spans="1:15" ht="15.75" hidden="1" x14ac:dyDescent="0.25">
      <c r="A647" s="3" t="s">
        <v>968</v>
      </c>
      <c r="B647" s="2" t="s">
        <v>777</v>
      </c>
      <c r="C647" s="2" t="s">
        <v>33</v>
      </c>
      <c r="D647" s="2" t="s">
        <v>19</v>
      </c>
      <c r="E647" s="2" t="s">
        <v>34</v>
      </c>
      <c r="F647" s="2">
        <v>15</v>
      </c>
      <c r="G647" s="2">
        <v>4242</v>
      </c>
      <c r="H647" s="2" t="str">
        <f>_xlfn.XLOOKUP(E647, Product_Master!A:A, Product_Master!B:B)</f>
        <v>Jacket</v>
      </c>
      <c r="I647" s="2" t="str">
        <f>_xlfn.XLOOKUP(E647, Product_Master!A:A, Product_Master!C:C)</f>
        <v>Clothing</v>
      </c>
      <c r="J647" s="2">
        <f>_xlfn.XLOOKUP(E647, Product_Master!A:A, Product_Master!D:D)</f>
        <v>1500</v>
      </c>
      <c r="K647" s="2">
        <f t="shared" si="40"/>
        <v>63630</v>
      </c>
      <c r="L647" s="2">
        <f t="shared" si="41"/>
        <v>22500</v>
      </c>
      <c r="M647" s="2">
        <f t="shared" si="42"/>
        <v>41130</v>
      </c>
      <c r="N647" s="2">
        <f>_xlfn.XLOOKUP(D647, Sales_Rep_Master!A:A, Sales_Rep_Master!B:B)</f>
        <v>950000</v>
      </c>
      <c r="O647" s="4">
        <f t="shared" si="43"/>
        <v>6.6978947368421055E-2</v>
      </c>
    </row>
    <row r="648" spans="1:15" ht="15.75" hidden="1" x14ac:dyDescent="0.25">
      <c r="A648" s="3" t="s">
        <v>969</v>
      </c>
      <c r="B648" s="2" t="s">
        <v>214</v>
      </c>
      <c r="C648" s="2" t="s">
        <v>9</v>
      </c>
      <c r="D648" s="2" t="s">
        <v>19</v>
      </c>
      <c r="E648" s="2" t="s">
        <v>15</v>
      </c>
      <c r="F648" s="2">
        <v>3</v>
      </c>
      <c r="G648" s="2">
        <v>2450</v>
      </c>
      <c r="H648" s="2" t="str">
        <f>_xlfn.XLOOKUP(E648, Product_Master!A:A, Product_Master!B:B)</f>
        <v>Chair</v>
      </c>
      <c r="I648" s="2" t="str">
        <f>_xlfn.XLOOKUP(E648, Product_Master!A:A, Product_Master!C:C)</f>
        <v>Furniture</v>
      </c>
      <c r="J648" s="2">
        <f>_xlfn.XLOOKUP(E648, Product_Master!A:A, Product_Master!D:D)</f>
        <v>2500</v>
      </c>
      <c r="K648" s="2">
        <f t="shared" si="40"/>
        <v>7350</v>
      </c>
      <c r="L648" s="2">
        <f t="shared" si="41"/>
        <v>7500</v>
      </c>
      <c r="M648" s="2">
        <f t="shared" si="42"/>
        <v>-150</v>
      </c>
      <c r="N648" s="2">
        <f>_xlfn.XLOOKUP(D648, Sales_Rep_Master!A:A, Sales_Rep_Master!B:B)</f>
        <v>950000</v>
      </c>
      <c r="O648" s="4">
        <f t="shared" si="43"/>
        <v>7.7368421052631583E-3</v>
      </c>
    </row>
    <row r="649" spans="1:15" ht="15.75" hidden="1" x14ac:dyDescent="0.25">
      <c r="A649" s="3" t="s">
        <v>970</v>
      </c>
      <c r="B649" s="2" t="s">
        <v>971</v>
      </c>
      <c r="C649" s="2" t="s">
        <v>26</v>
      </c>
      <c r="D649" s="2" t="s">
        <v>51</v>
      </c>
      <c r="E649" s="2" t="s">
        <v>15</v>
      </c>
      <c r="F649" s="2">
        <v>11</v>
      </c>
      <c r="G649" s="2">
        <v>2985</v>
      </c>
      <c r="H649" s="2" t="str">
        <f>_xlfn.XLOOKUP(E649, Product_Master!A:A, Product_Master!B:B)</f>
        <v>Chair</v>
      </c>
      <c r="I649" s="2" t="str">
        <f>_xlfn.XLOOKUP(E649, Product_Master!A:A, Product_Master!C:C)</f>
        <v>Furniture</v>
      </c>
      <c r="J649" s="2">
        <f>_xlfn.XLOOKUP(E649, Product_Master!A:A, Product_Master!D:D)</f>
        <v>2500</v>
      </c>
      <c r="K649" s="2">
        <f t="shared" si="40"/>
        <v>32835</v>
      </c>
      <c r="L649" s="2">
        <f t="shared" si="41"/>
        <v>27500</v>
      </c>
      <c r="M649" s="2">
        <f t="shared" si="42"/>
        <v>5335</v>
      </c>
      <c r="N649" s="2">
        <f>_xlfn.XLOOKUP(D649, Sales_Rep_Master!A:A, Sales_Rep_Master!B:B)</f>
        <v>900000</v>
      </c>
      <c r="O649" s="4">
        <f t="shared" si="43"/>
        <v>3.6483333333333333E-2</v>
      </c>
    </row>
    <row r="650" spans="1:15" ht="15.75" hidden="1" x14ac:dyDescent="0.25">
      <c r="A650" s="3" t="s">
        <v>972</v>
      </c>
      <c r="B650" s="2" t="s">
        <v>239</v>
      </c>
      <c r="C650" s="2" t="s">
        <v>18</v>
      </c>
      <c r="D650" s="2" t="s">
        <v>54</v>
      </c>
      <c r="E650" s="2" t="s">
        <v>34</v>
      </c>
      <c r="F650" s="2">
        <v>5</v>
      </c>
      <c r="G650" s="2">
        <v>5513</v>
      </c>
      <c r="H650" s="2" t="str">
        <f>_xlfn.XLOOKUP(E650, Product_Master!A:A, Product_Master!B:B)</f>
        <v>Jacket</v>
      </c>
      <c r="I650" s="2" t="str">
        <f>_xlfn.XLOOKUP(E650, Product_Master!A:A, Product_Master!C:C)</f>
        <v>Clothing</v>
      </c>
      <c r="J650" s="2">
        <f>_xlfn.XLOOKUP(E650, Product_Master!A:A, Product_Master!D:D)</f>
        <v>1500</v>
      </c>
      <c r="K650" s="2">
        <f t="shared" si="40"/>
        <v>27565</v>
      </c>
      <c r="L650" s="2">
        <f t="shared" si="41"/>
        <v>7500</v>
      </c>
      <c r="M650" s="2">
        <f t="shared" si="42"/>
        <v>20065</v>
      </c>
      <c r="N650" s="2">
        <f>_xlfn.XLOOKUP(D650, Sales_Rep_Master!A:A, Sales_Rep_Master!B:B)</f>
        <v>890000</v>
      </c>
      <c r="O650" s="4">
        <f t="shared" si="43"/>
        <v>3.0971910112359551E-2</v>
      </c>
    </row>
    <row r="651" spans="1:15" ht="15.75" x14ac:dyDescent="0.25">
      <c r="A651" s="8" t="s">
        <v>973</v>
      </c>
      <c r="B651" s="9" t="s">
        <v>974</v>
      </c>
      <c r="C651" s="9" t="s">
        <v>9</v>
      </c>
      <c r="D651" s="9" t="s">
        <v>10</v>
      </c>
      <c r="E651" s="9" t="s">
        <v>11</v>
      </c>
      <c r="F651" s="9">
        <v>4</v>
      </c>
      <c r="G651" s="9">
        <v>2219</v>
      </c>
      <c r="H651" s="9" t="str">
        <f>_xlfn.XLOOKUP(E651, Product_Master!A:A, Product_Master!B:B)</f>
        <v>Mobile</v>
      </c>
      <c r="I651" s="9" t="str">
        <f>_xlfn.XLOOKUP(E651, Product_Master!A:A, Product_Master!C:C)</f>
        <v>Electronics</v>
      </c>
      <c r="J651" s="9">
        <f>_xlfn.XLOOKUP(E651, Product_Master!A:A, Product_Master!D:D)</f>
        <v>18000</v>
      </c>
      <c r="K651" s="9">
        <f t="shared" si="40"/>
        <v>8876</v>
      </c>
      <c r="L651" s="9">
        <f t="shared" si="41"/>
        <v>72000</v>
      </c>
      <c r="M651" s="9">
        <f t="shared" si="42"/>
        <v>-63124</v>
      </c>
      <c r="N651" s="9">
        <f>_xlfn.XLOOKUP(D651, Sales_Rep_Master!A:A, Sales_Rep_Master!B:B)</f>
        <v>920000</v>
      </c>
      <c r="O651" s="10">
        <f t="shared" si="43"/>
        <v>9.6478260869565218E-3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B16" sqref="B16"/>
    </sheetView>
  </sheetViews>
  <sheetFormatPr defaultRowHeight="15" x14ac:dyDescent="0.25"/>
  <cols>
    <col min="1" max="1" width="21.85546875" bestFit="1" customWidth="1"/>
    <col min="2" max="2" width="27.85546875" bestFit="1" customWidth="1"/>
    <col min="3" max="3" width="17.140625" bestFit="1" customWidth="1"/>
    <col min="4" max="4" width="20.28515625" bestFit="1" customWidth="1"/>
  </cols>
  <sheetData>
    <row r="1" spans="1:4" ht="26.25" x14ac:dyDescent="0.4">
      <c r="A1" s="1" t="s">
        <v>4</v>
      </c>
      <c r="B1" s="1" t="s">
        <v>975</v>
      </c>
      <c r="C1" s="1" t="s">
        <v>976</v>
      </c>
      <c r="D1" s="1" t="s">
        <v>977</v>
      </c>
    </row>
    <row r="2" spans="1:4" ht="15.75" x14ac:dyDescent="0.25">
      <c r="A2" s="2" t="s">
        <v>28</v>
      </c>
      <c r="B2" s="2" t="s">
        <v>978</v>
      </c>
      <c r="C2" s="2" t="s">
        <v>979</v>
      </c>
      <c r="D2" s="2">
        <v>35000</v>
      </c>
    </row>
    <row r="3" spans="1:4" ht="15.75" x14ac:dyDescent="0.25">
      <c r="A3" s="2" t="s">
        <v>11</v>
      </c>
      <c r="B3" s="2" t="s">
        <v>980</v>
      </c>
      <c r="C3" s="2" t="s">
        <v>979</v>
      </c>
      <c r="D3" s="2">
        <v>18000</v>
      </c>
    </row>
    <row r="4" spans="1:4" ht="15.75" x14ac:dyDescent="0.25">
      <c r="A4" s="2" t="s">
        <v>20</v>
      </c>
      <c r="B4" s="2" t="s">
        <v>981</v>
      </c>
      <c r="C4" s="2" t="s">
        <v>979</v>
      </c>
      <c r="D4" s="2">
        <v>2000</v>
      </c>
    </row>
    <row r="5" spans="1:4" ht="15.75" x14ac:dyDescent="0.25">
      <c r="A5" s="2" t="s">
        <v>15</v>
      </c>
      <c r="B5" s="2" t="s">
        <v>982</v>
      </c>
      <c r="C5" s="2" t="s">
        <v>983</v>
      </c>
      <c r="D5" s="2">
        <v>2500</v>
      </c>
    </row>
    <row r="6" spans="1:4" ht="15.75" x14ac:dyDescent="0.25">
      <c r="A6" s="2" t="s">
        <v>40</v>
      </c>
      <c r="B6" s="2" t="s">
        <v>984</v>
      </c>
      <c r="C6" s="2" t="s">
        <v>983</v>
      </c>
      <c r="D6" s="2">
        <v>7000</v>
      </c>
    </row>
    <row r="7" spans="1:4" ht="15.75" x14ac:dyDescent="0.25">
      <c r="A7" s="2" t="s">
        <v>23</v>
      </c>
      <c r="B7" s="2" t="s">
        <v>985</v>
      </c>
      <c r="C7" s="2" t="s">
        <v>983</v>
      </c>
      <c r="D7" s="2">
        <v>15000</v>
      </c>
    </row>
    <row r="8" spans="1:4" ht="15.75" x14ac:dyDescent="0.25">
      <c r="A8" s="2" t="s">
        <v>34</v>
      </c>
      <c r="B8" s="2" t="s">
        <v>986</v>
      </c>
      <c r="C8" s="2" t="s">
        <v>987</v>
      </c>
      <c r="D8" s="2">
        <v>1500</v>
      </c>
    </row>
    <row r="9" spans="1:4" ht="15.75" x14ac:dyDescent="0.25">
      <c r="A9" s="2" t="s">
        <v>61</v>
      </c>
      <c r="B9" s="2" t="s">
        <v>988</v>
      </c>
      <c r="C9" s="2" t="s">
        <v>987</v>
      </c>
      <c r="D9" s="2">
        <v>2000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A19" sqref="A19"/>
    </sheetView>
  </sheetViews>
  <sheetFormatPr defaultRowHeight="15" x14ac:dyDescent="0.25"/>
  <cols>
    <col min="1" max="1" width="19.140625" bestFit="1" customWidth="1"/>
    <col min="2" max="2" width="23.7109375" bestFit="1" customWidth="1"/>
  </cols>
  <sheetData>
    <row r="1" spans="1:2" ht="26.25" x14ac:dyDescent="0.4">
      <c r="A1" s="1" t="s">
        <v>3</v>
      </c>
      <c r="B1" s="1" t="s">
        <v>989</v>
      </c>
    </row>
    <row r="2" spans="1:2" ht="15.75" x14ac:dyDescent="0.25">
      <c r="A2" s="2" t="s">
        <v>51</v>
      </c>
      <c r="B2" s="2">
        <v>900000</v>
      </c>
    </row>
    <row r="3" spans="1:2" ht="15.75" x14ac:dyDescent="0.25">
      <c r="A3" s="2" t="s">
        <v>37</v>
      </c>
      <c r="B3" s="2">
        <v>850000</v>
      </c>
    </row>
    <row r="4" spans="1:2" ht="15.75" x14ac:dyDescent="0.25">
      <c r="A4" s="2" t="s">
        <v>19</v>
      </c>
      <c r="B4" s="2">
        <v>950000</v>
      </c>
    </row>
    <row r="5" spans="1:2" ht="15.75" x14ac:dyDescent="0.25">
      <c r="A5" s="2" t="s">
        <v>27</v>
      </c>
      <c r="B5" s="2">
        <v>800000</v>
      </c>
    </row>
    <row r="6" spans="1:2" ht="15.75" x14ac:dyDescent="0.25">
      <c r="A6" s="2" t="s">
        <v>14</v>
      </c>
      <c r="B6" s="2">
        <v>880000</v>
      </c>
    </row>
    <row r="7" spans="1:2" ht="15.75" x14ac:dyDescent="0.25">
      <c r="A7" s="2" t="s">
        <v>152</v>
      </c>
      <c r="B7" s="2">
        <v>870000</v>
      </c>
    </row>
    <row r="8" spans="1:2" ht="15.75" x14ac:dyDescent="0.25">
      <c r="A8" s="2" t="s">
        <v>10</v>
      </c>
      <c r="B8" s="2">
        <v>920000</v>
      </c>
    </row>
    <row r="9" spans="1:2" ht="15.75" x14ac:dyDescent="0.25">
      <c r="A9" s="2" t="s">
        <v>54</v>
      </c>
      <c r="B9" s="2">
        <v>890000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0C5FE-1915-412B-BBE0-5492DD4E5088}">
  <dimension ref="A2:E11"/>
  <sheetViews>
    <sheetView workbookViewId="0">
      <selection activeCell="J17" sqref="J17"/>
    </sheetView>
  </sheetViews>
  <sheetFormatPr defaultColWidth="8.85546875" defaultRowHeight="21" x14ac:dyDescent="0.35"/>
  <cols>
    <col min="1" max="1" width="17.7109375" style="14" bestFit="1" customWidth="1"/>
    <col min="2" max="2" width="24.7109375" style="14" bestFit="1" customWidth="1"/>
    <col min="3" max="3" width="17.85546875" style="14" bestFit="1" customWidth="1"/>
    <col min="4" max="16384" width="8.85546875" style="14"/>
  </cols>
  <sheetData>
    <row r="2" spans="1:5" ht="21" customHeight="1" x14ac:dyDescent="0.35">
      <c r="A2" s="32" t="s">
        <v>1001</v>
      </c>
      <c r="B2" s="33"/>
      <c r="C2" s="33"/>
    </row>
    <row r="3" spans="1:5" ht="21" customHeight="1" x14ac:dyDescent="0.35">
      <c r="A3" s="32"/>
      <c r="B3" s="33"/>
      <c r="C3" s="33"/>
    </row>
    <row r="5" spans="1:5" x14ac:dyDescent="0.35">
      <c r="A5" s="11" t="s">
        <v>995</v>
      </c>
      <c r="B5" s="12" t="s">
        <v>997</v>
      </c>
      <c r="C5" s="12" t="s">
        <v>998</v>
      </c>
    </row>
    <row r="6" spans="1:5" x14ac:dyDescent="0.35">
      <c r="A6" s="13" t="s">
        <v>26</v>
      </c>
      <c r="B6" s="12">
        <v>5026376</v>
      </c>
      <c r="C6" s="12">
        <v>-7814124</v>
      </c>
    </row>
    <row r="7" spans="1:5" x14ac:dyDescent="0.35">
      <c r="A7" s="13" t="s">
        <v>33</v>
      </c>
      <c r="B7" s="12">
        <v>4896499</v>
      </c>
      <c r="C7" s="12">
        <v>-8391501</v>
      </c>
    </row>
    <row r="8" spans="1:5" x14ac:dyDescent="0.35">
      <c r="A8" s="13" t="s">
        <v>18</v>
      </c>
      <c r="B8" s="12">
        <v>5543129</v>
      </c>
      <c r="C8" s="12">
        <v>-5394371</v>
      </c>
    </row>
    <row r="9" spans="1:5" x14ac:dyDescent="0.35">
      <c r="A9" s="13" t="s">
        <v>9</v>
      </c>
      <c r="B9" s="12">
        <v>5888294</v>
      </c>
      <c r="C9" s="12">
        <v>-6969706</v>
      </c>
    </row>
    <row r="10" spans="1:5" x14ac:dyDescent="0.35">
      <c r="A10" s="13" t="s">
        <v>996</v>
      </c>
      <c r="B10" s="12">
        <v>21354298</v>
      </c>
      <c r="C10" s="12">
        <v>-28569702</v>
      </c>
    </row>
    <row r="11" spans="1:5" x14ac:dyDescent="0.35">
      <c r="E11" s="12"/>
    </row>
  </sheetData>
  <mergeCells count="1">
    <mergeCell ref="A2:C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EF807-EDBE-4BC2-A9BF-52F362B45674}">
  <dimension ref="A2:B9"/>
  <sheetViews>
    <sheetView workbookViewId="0">
      <selection activeCell="K28" sqref="K28"/>
    </sheetView>
  </sheetViews>
  <sheetFormatPr defaultRowHeight="15" x14ac:dyDescent="0.25"/>
  <cols>
    <col min="1" max="1" width="13.140625" bestFit="1" customWidth="1"/>
    <col min="2" max="2" width="17.7109375" bestFit="1" customWidth="1"/>
  </cols>
  <sheetData>
    <row r="2" spans="1:2" ht="14.45" customHeight="1" x14ac:dyDescent="0.25">
      <c r="A2" s="34" t="s">
        <v>1002</v>
      </c>
      <c r="B2" s="34"/>
    </row>
    <row r="3" spans="1:2" ht="14.45" customHeight="1" x14ac:dyDescent="0.25">
      <c r="A3" s="34"/>
      <c r="B3" s="34"/>
    </row>
    <row r="5" spans="1:2" x14ac:dyDescent="0.25">
      <c r="A5" s="17" t="s">
        <v>995</v>
      </c>
      <c r="B5" t="s">
        <v>997</v>
      </c>
    </row>
    <row r="6" spans="1:2" x14ac:dyDescent="0.25">
      <c r="A6" s="19" t="s">
        <v>987</v>
      </c>
      <c r="B6">
        <v>5877819</v>
      </c>
    </row>
    <row r="7" spans="1:2" x14ac:dyDescent="0.25">
      <c r="A7" s="19" t="s">
        <v>979</v>
      </c>
      <c r="B7">
        <v>7954974</v>
      </c>
    </row>
    <row r="8" spans="1:2" x14ac:dyDescent="0.25">
      <c r="A8" s="19" t="s">
        <v>983</v>
      </c>
      <c r="B8">
        <v>7521505</v>
      </c>
    </row>
    <row r="9" spans="1:2" x14ac:dyDescent="0.25">
      <c r="A9" s="19" t="s">
        <v>996</v>
      </c>
      <c r="B9">
        <v>21354298</v>
      </c>
    </row>
  </sheetData>
  <mergeCells count="1">
    <mergeCell ref="A2:B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3724-8A93-4648-93C7-3BA814CEA3FE}">
  <dimension ref="A2:C14"/>
  <sheetViews>
    <sheetView workbookViewId="0">
      <selection activeCell="F5" sqref="F5"/>
    </sheetView>
  </sheetViews>
  <sheetFormatPr defaultRowHeight="15" x14ac:dyDescent="0.25"/>
  <cols>
    <col min="1" max="1" width="13.140625" bestFit="1" customWidth="1"/>
    <col min="2" max="2" width="17.7109375" bestFit="1" customWidth="1"/>
    <col min="3" max="3" width="12.5703125" bestFit="1" customWidth="1"/>
  </cols>
  <sheetData>
    <row r="2" spans="1:3" ht="14.45" customHeight="1" x14ac:dyDescent="0.25">
      <c r="A2" s="34" t="s">
        <v>1003</v>
      </c>
      <c r="B2" s="34"/>
    </row>
    <row r="3" spans="1:3" ht="14.45" customHeight="1" x14ac:dyDescent="0.25">
      <c r="A3" s="34"/>
      <c r="B3" s="34"/>
    </row>
    <row r="5" spans="1:3" x14ac:dyDescent="0.25">
      <c r="A5" s="17" t="s">
        <v>995</v>
      </c>
      <c r="B5" t="s">
        <v>997</v>
      </c>
      <c r="C5" t="s">
        <v>998</v>
      </c>
    </row>
    <row r="6" spans="1:3" x14ac:dyDescent="0.25">
      <c r="A6" s="19" t="s">
        <v>51</v>
      </c>
      <c r="B6">
        <v>2891462</v>
      </c>
      <c r="C6" s="19">
        <v>-2620038</v>
      </c>
    </row>
    <row r="7" spans="1:3" x14ac:dyDescent="0.25">
      <c r="A7" s="19" t="s">
        <v>10</v>
      </c>
      <c r="B7">
        <v>2961627</v>
      </c>
      <c r="C7" s="19">
        <v>-2771373</v>
      </c>
    </row>
    <row r="8" spans="1:3" x14ac:dyDescent="0.25">
      <c r="A8" s="19" t="s">
        <v>54</v>
      </c>
      <c r="B8">
        <v>2414107</v>
      </c>
      <c r="C8" s="19">
        <v>-3345893</v>
      </c>
    </row>
    <row r="9" spans="1:3" x14ac:dyDescent="0.25">
      <c r="A9" s="19" t="s">
        <v>152</v>
      </c>
      <c r="B9">
        <v>2803251</v>
      </c>
      <c r="C9" s="19">
        <v>-3251749</v>
      </c>
    </row>
    <row r="10" spans="1:3" x14ac:dyDescent="0.25">
      <c r="A10" s="19" t="s">
        <v>19</v>
      </c>
      <c r="B10">
        <v>2622263</v>
      </c>
      <c r="C10" s="19">
        <v>-4269237</v>
      </c>
    </row>
    <row r="11" spans="1:3" x14ac:dyDescent="0.25">
      <c r="A11" s="19" t="s">
        <v>37</v>
      </c>
      <c r="B11">
        <v>2444343</v>
      </c>
      <c r="C11" s="19">
        <v>-3474157</v>
      </c>
    </row>
    <row r="12" spans="1:3" x14ac:dyDescent="0.25">
      <c r="A12" s="19" t="s">
        <v>27</v>
      </c>
      <c r="B12">
        <v>2536155</v>
      </c>
      <c r="C12" s="19">
        <v>-4874845</v>
      </c>
    </row>
    <row r="13" spans="1:3" x14ac:dyDescent="0.25">
      <c r="A13" s="19" t="s">
        <v>14</v>
      </c>
      <c r="B13">
        <v>2681090</v>
      </c>
      <c r="C13" s="19">
        <v>-3962410</v>
      </c>
    </row>
    <row r="14" spans="1:3" x14ac:dyDescent="0.25">
      <c r="A14" s="19" t="s">
        <v>996</v>
      </c>
      <c r="B14">
        <v>21354298</v>
      </c>
      <c r="C14">
        <v>-28569702</v>
      </c>
    </row>
  </sheetData>
  <mergeCells count="1">
    <mergeCell ref="A2:B3"/>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0B0C5-C88D-4F28-B230-7F1AA4B0FCE5}">
  <dimension ref="A2:B304"/>
  <sheetViews>
    <sheetView workbookViewId="0">
      <selection activeCell="G20" sqref="G20"/>
    </sheetView>
  </sheetViews>
  <sheetFormatPr defaultRowHeight="15" x14ac:dyDescent="0.25"/>
  <cols>
    <col min="1" max="1" width="13.140625" bestFit="1" customWidth="1"/>
    <col min="2" max="2" width="17.7109375" bestFit="1" customWidth="1"/>
  </cols>
  <sheetData>
    <row r="2" spans="1:2" x14ac:dyDescent="0.25">
      <c r="A2" s="34" t="s">
        <v>1004</v>
      </c>
      <c r="B2" s="34"/>
    </row>
    <row r="3" spans="1:2" x14ac:dyDescent="0.25">
      <c r="A3" s="34"/>
      <c r="B3" s="34"/>
    </row>
    <row r="5" spans="1:2" x14ac:dyDescent="0.25">
      <c r="A5" s="17" t="s">
        <v>995</v>
      </c>
      <c r="B5" t="s">
        <v>997</v>
      </c>
    </row>
    <row r="6" spans="1:2" x14ac:dyDescent="0.25">
      <c r="A6" s="19" t="s">
        <v>663</v>
      </c>
      <c r="B6">
        <v>139086</v>
      </c>
    </row>
    <row r="7" spans="1:2" x14ac:dyDescent="0.25">
      <c r="A7" s="19" t="s">
        <v>36</v>
      </c>
      <c r="B7">
        <v>51886</v>
      </c>
    </row>
    <row r="8" spans="1:2" x14ac:dyDescent="0.25">
      <c r="A8" s="19" t="s">
        <v>382</v>
      </c>
      <c r="B8">
        <v>71435</v>
      </c>
    </row>
    <row r="9" spans="1:2" x14ac:dyDescent="0.25">
      <c r="A9" s="19" t="s">
        <v>119</v>
      </c>
      <c r="B9">
        <v>119240</v>
      </c>
    </row>
    <row r="10" spans="1:2" x14ac:dyDescent="0.25">
      <c r="A10" s="19" t="s">
        <v>293</v>
      </c>
      <c r="B10">
        <v>58230</v>
      </c>
    </row>
    <row r="11" spans="1:2" x14ac:dyDescent="0.25">
      <c r="A11" s="19" t="s">
        <v>311</v>
      </c>
      <c r="B11">
        <v>113786</v>
      </c>
    </row>
    <row r="12" spans="1:2" x14ac:dyDescent="0.25">
      <c r="A12" s="19" t="s">
        <v>482</v>
      </c>
      <c r="B12">
        <v>5436</v>
      </c>
    </row>
    <row r="13" spans="1:2" x14ac:dyDescent="0.25">
      <c r="A13" s="19" t="s">
        <v>592</v>
      </c>
      <c r="B13">
        <v>102594</v>
      </c>
    </row>
    <row r="14" spans="1:2" x14ac:dyDescent="0.25">
      <c r="A14" s="19" t="s">
        <v>164</v>
      </c>
      <c r="B14">
        <v>124418</v>
      </c>
    </row>
    <row r="15" spans="1:2" x14ac:dyDescent="0.25">
      <c r="A15" s="19" t="s">
        <v>470</v>
      </c>
      <c r="B15">
        <v>42259</v>
      </c>
    </row>
    <row r="16" spans="1:2" x14ac:dyDescent="0.25">
      <c r="A16" s="19" t="s">
        <v>724</v>
      </c>
      <c r="B16">
        <v>21548</v>
      </c>
    </row>
    <row r="17" spans="1:2" x14ac:dyDescent="0.25">
      <c r="A17" s="19" t="s">
        <v>390</v>
      </c>
      <c r="B17">
        <v>20488</v>
      </c>
    </row>
    <row r="18" spans="1:2" x14ac:dyDescent="0.25">
      <c r="A18" s="19" t="s">
        <v>544</v>
      </c>
      <c r="B18">
        <v>9356</v>
      </c>
    </row>
    <row r="19" spans="1:2" x14ac:dyDescent="0.25">
      <c r="A19" s="19" t="s">
        <v>171</v>
      </c>
      <c r="B19">
        <v>31180</v>
      </c>
    </row>
    <row r="20" spans="1:2" x14ac:dyDescent="0.25">
      <c r="A20" s="19" t="s">
        <v>460</v>
      </c>
      <c r="B20">
        <v>169010</v>
      </c>
    </row>
    <row r="21" spans="1:2" x14ac:dyDescent="0.25">
      <c r="A21" s="19" t="s">
        <v>87</v>
      </c>
      <c r="B21">
        <v>213002</v>
      </c>
    </row>
    <row r="22" spans="1:2" x14ac:dyDescent="0.25">
      <c r="A22" s="19" t="s">
        <v>329</v>
      </c>
      <c r="B22">
        <v>53164</v>
      </c>
    </row>
    <row r="23" spans="1:2" x14ac:dyDescent="0.25">
      <c r="A23" s="19" t="s">
        <v>253</v>
      </c>
      <c r="B23">
        <v>35641</v>
      </c>
    </row>
    <row r="24" spans="1:2" x14ac:dyDescent="0.25">
      <c r="A24" s="19" t="s">
        <v>404</v>
      </c>
      <c r="B24">
        <v>39354</v>
      </c>
    </row>
    <row r="25" spans="1:2" x14ac:dyDescent="0.25">
      <c r="A25" s="19" t="s">
        <v>98</v>
      </c>
      <c r="B25">
        <v>4966</v>
      </c>
    </row>
    <row r="26" spans="1:2" x14ac:dyDescent="0.25">
      <c r="A26" s="19" t="s">
        <v>126</v>
      </c>
      <c r="B26">
        <v>52192</v>
      </c>
    </row>
    <row r="27" spans="1:2" x14ac:dyDescent="0.25">
      <c r="A27" s="19" t="s">
        <v>50</v>
      </c>
      <c r="B27">
        <v>18207</v>
      </c>
    </row>
    <row r="28" spans="1:2" x14ac:dyDescent="0.25">
      <c r="A28" s="19" t="s">
        <v>767</v>
      </c>
      <c r="B28">
        <v>52155</v>
      </c>
    </row>
    <row r="29" spans="1:2" x14ac:dyDescent="0.25">
      <c r="A29" s="19" t="s">
        <v>777</v>
      </c>
      <c r="B29">
        <v>69420</v>
      </c>
    </row>
    <row r="30" spans="1:2" x14ac:dyDescent="0.25">
      <c r="A30" s="19" t="s">
        <v>173</v>
      </c>
      <c r="B30">
        <v>20757</v>
      </c>
    </row>
    <row r="31" spans="1:2" x14ac:dyDescent="0.25">
      <c r="A31" s="19" t="s">
        <v>619</v>
      </c>
      <c r="B31">
        <v>51854</v>
      </c>
    </row>
    <row r="32" spans="1:2" x14ac:dyDescent="0.25">
      <c r="A32" s="19" t="s">
        <v>784</v>
      </c>
      <c r="B32">
        <v>9368</v>
      </c>
    </row>
    <row r="33" spans="1:2" x14ac:dyDescent="0.25">
      <c r="A33" s="19" t="s">
        <v>89</v>
      </c>
      <c r="B33">
        <v>155136</v>
      </c>
    </row>
    <row r="34" spans="1:2" x14ac:dyDescent="0.25">
      <c r="A34" s="19" t="s">
        <v>325</v>
      </c>
      <c r="B34">
        <v>153629</v>
      </c>
    </row>
    <row r="35" spans="1:2" x14ac:dyDescent="0.25">
      <c r="A35" s="19" t="s">
        <v>462</v>
      </c>
      <c r="B35">
        <v>35899</v>
      </c>
    </row>
    <row r="36" spans="1:2" x14ac:dyDescent="0.25">
      <c r="A36" s="19" t="s">
        <v>925</v>
      </c>
      <c r="B36">
        <v>37900</v>
      </c>
    </row>
    <row r="37" spans="1:2" x14ac:dyDescent="0.25">
      <c r="A37" s="19" t="s">
        <v>455</v>
      </c>
      <c r="B37">
        <v>66797</v>
      </c>
    </row>
    <row r="38" spans="1:2" x14ac:dyDescent="0.25">
      <c r="A38" s="19" t="s">
        <v>949</v>
      </c>
      <c r="B38">
        <v>13320</v>
      </c>
    </row>
    <row r="39" spans="1:2" x14ac:dyDescent="0.25">
      <c r="A39" s="19" t="s">
        <v>268</v>
      </c>
      <c r="B39">
        <v>99666</v>
      </c>
    </row>
    <row r="40" spans="1:2" x14ac:dyDescent="0.25">
      <c r="A40" s="19" t="s">
        <v>175</v>
      </c>
      <c r="B40">
        <v>41224</v>
      </c>
    </row>
    <row r="41" spans="1:2" x14ac:dyDescent="0.25">
      <c r="A41" s="19" t="s">
        <v>22</v>
      </c>
      <c r="B41">
        <v>125104</v>
      </c>
    </row>
    <row r="42" spans="1:2" x14ac:dyDescent="0.25">
      <c r="A42" s="19" t="s">
        <v>495</v>
      </c>
      <c r="B42">
        <v>18959</v>
      </c>
    </row>
    <row r="43" spans="1:2" x14ac:dyDescent="0.25">
      <c r="A43" s="19" t="s">
        <v>195</v>
      </c>
      <c r="B43">
        <v>35680</v>
      </c>
    </row>
    <row r="44" spans="1:2" x14ac:dyDescent="0.25">
      <c r="A44" s="19" t="s">
        <v>402</v>
      </c>
      <c r="B44">
        <v>3105</v>
      </c>
    </row>
    <row r="45" spans="1:2" x14ac:dyDescent="0.25">
      <c r="A45" s="19" t="s">
        <v>468</v>
      </c>
      <c r="B45">
        <v>1254</v>
      </c>
    </row>
    <row r="46" spans="1:2" x14ac:dyDescent="0.25">
      <c r="A46" s="19" t="s">
        <v>145</v>
      </c>
      <c r="B46">
        <v>100294</v>
      </c>
    </row>
    <row r="47" spans="1:2" x14ac:dyDescent="0.25">
      <c r="A47" s="19" t="s">
        <v>220</v>
      </c>
      <c r="B47">
        <v>103604</v>
      </c>
    </row>
    <row r="48" spans="1:2" x14ac:dyDescent="0.25">
      <c r="A48" s="19" t="s">
        <v>168</v>
      </c>
      <c r="B48">
        <v>72677</v>
      </c>
    </row>
    <row r="49" spans="1:2" x14ac:dyDescent="0.25">
      <c r="A49" s="19" t="s">
        <v>386</v>
      </c>
      <c r="B49">
        <v>97494</v>
      </c>
    </row>
    <row r="50" spans="1:2" x14ac:dyDescent="0.25">
      <c r="A50" s="19" t="s">
        <v>416</v>
      </c>
      <c r="B50">
        <v>73596</v>
      </c>
    </row>
    <row r="51" spans="1:2" x14ac:dyDescent="0.25">
      <c r="A51" s="19" t="s">
        <v>46</v>
      </c>
      <c r="B51">
        <v>129980</v>
      </c>
    </row>
    <row r="52" spans="1:2" x14ac:dyDescent="0.25">
      <c r="A52" s="19" t="s">
        <v>17</v>
      </c>
      <c r="B52">
        <v>51278</v>
      </c>
    </row>
    <row r="53" spans="1:2" x14ac:dyDescent="0.25">
      <c r="A53" s="19" t="s">
        <v>273</v>
      </c>
      <c r="B53">
        <v>154701</v>
      </c>
    </row>
    <row r="54" spans="1:2" x14ac:dyDescent="0.25">
      <c r="A54" s="19" t="s">
        <v>178</v>
      </c>
      <c r="B54">
        <v>98936</v>
      </c>
    </row>
    <row r="55" spans="1:2" x14ac:dyDescent="0.25">
      <c r="A55" s="19" t="s">
        <v>821</v>
      </c>
      <c r="B55">
        <v>8704</v>
      </c>
    </row>
    <row r="56" spans="1:2" x14ac:dyDescent="0.25">
      <c r="A56" s="19" t="s">
        <v>218</v>
      </c>
      <c r="B56">
        <v>24750</v>
      </c>
    </row>
    <row r="57" spans="1:2" x14ac:dyDescent="0.25">
      <c r="A57" s="19" t="s">
        <v>608</v>
      </c>
      <c r="B57">
        <v>43080</v>
      </c>
    </row>
    <row r="58" spans="1:2" x14ac:dyDescent="0.25">
      <c r="A58" s="19" t="s">
        <v>715</v>
      </c>
      <c r="B58">
        <v>122528</v>
      </c>
    </row>
    <row r="59" spans="1:2" x14ac:dyDescent="0.25">
      <c r="A59" s="19" t="s">
        <v>96</v>
      </c>
      <c r="B59">
        <v>106516</v>
      </c>
    </row>
    <row r="60" spans="1:2" x14ac:dyDescent="0.25">
      <c r="A60" s="19" t="s">
        <v>343</v>
      </c>
      <c r="B60">
        <v>71738</v>
      </c>
    </row>
    <row r="61" spans="1:2" x14ac:dyDescent="0.25">
      <c r="A61" s="19" t="s">
        <v>201</v>
      </c>
      <c r="B61">
        <v>168189</v>
      </c>
    </row>
    <row r="62" spans="1:2" x14ac:dyDescent="0.25">
      <c r="A62" s="19" t="s">
        <v>8</v>
      </c>
      <c r="B62">
        <v>10170</v>
      </c>
    </row>
    <row r="63" spans="1:2" x14ac:dyDescent="0.25">
      <c r="A63" s="19" t="s">
        <v>193</v>
      </c>
      <c r="B63">
        <v>133005</v>
      </c>
    </row>
    <row r="64" spans="1:2" x14ac:dyDescent="0.25">
      <c r="A64" s="19" t="s">
        <v>155</v>
      </c>
      <c r="B64">
        <v>22725</v>
      </c>
    </row>
    <row r="65" spans="1:2" x14ac:dyDescent="0.25">
      <c r="A65" s="19" t="s">
        <v>187</v>
      </c>
      <c r="B65">
        <v>153075</v>
      </c>
    </row>
    <row r="66" spans="1:2" x14ac:dyDescent="0.25">
      <c r="A66" s="19" t="s">
        <v>873</v>
      </c>
      <c r="B66">
        <v>8952</v>
      </c>
    </row>
    <row r="67" spans="1:2" x14ac:dyDescent="0.25">
      <c r="A67" s="19" t="s">
        <v>769</v>
      </c>
      <c r="B67">
        <v>9180</v>
      </c>
    </row>
    <row r="68" spans="1:2" x14ac:dyDescent="0.25">
      <c r="A68" s="19" t="s">
        <v>665</v>
      </c>
      <c r="B68">
        <v>45118</v>
      </c>
    </row>
    <row r="69" spans="1:2" x14ac:dyDescent="0.25">
      <c r="A69" s="19" t="s">
        <v>484</v>
      </c>
      <c r="B69">
        <v>32223</v>
      </c>
    </row>
    <row r="70" spans="1:2" x14ac:dyDescent="0.25">
      <c r="A70" s="19" t="s">
        <v>257</v>
      </c>
      <c r="B70">
        <v>46120</v>
      </c>
    </row>
    <row r="71" spans="1:2" x14ac:dyDescent="0.25">
      <c r="A71" s="19" t="s">
        <v>320</v>
      </c>
      <c r="B71">
        <v>85938</v>
      </c>
    </row>
    <row r="72" spans="1:2" x14ac:dyDescent="0.25">
      <c r="A72" s="19" t="s">
        <v>812</v>
      </c>
      <c r="B72">
        <v>12207</v>
      </c>
    </row>
    <row r="73" spans="1:2" x14ac:dyDescent="0.25">
      <c r="A73" s="19" t="s">
        <v>44</v>
      </c>
      <c r="B73">
        <v>306373</v>
      </c>
    </row>
    <row r="74" spans="1:2" x14ac:dyDescent="0.25">
      <c r="A74" s="19" t="s">
        <v>276</v>
      </c>
      <c r="B74">
        <v>54769</v>
      </c>
    </row>
    <row r="75" spans="1:2" x14ac:dyDescent="0.25">
      <c r="A75" s="19" t="s">
        <v>829</v>
      </c>
      <c r="B75">
        <v>72330</v>
      </c>
    </row>
    <row r="76" spans="1:2" x14ac:dyDescent="0.25">
      <c r="A76" s="19" t="s">
        <v>349</v>
      </c>
      <c r="B76">
        <v>98820</v>
      </c>
    </row>
    <row r="77" spans="1:2" x14ac:dyDescent="0.25">
      <c r="A77" s="19" t="s">
        <v>566</v>
      </c>
      <c r="B77">
        <v>5796</v>
      </c>
    </row>
    <row r="78" spans="1:2" x14ac:dyDescent="0.25">
      <c r="A78" s="19" t="s">
        <v>576</v>
      </c>
      <c r="B78">
        <v>88218</v>
      </c>
    </row>
    <row r="79" spans="1:2" x14ac:dyDescent="0.25">
      <c r="A79" s="19" t="s">
        <v>649</v>
      </c>
      <c r="B79">
        <v>197796</v>
      </c>
    </row>
    <row r="80" spans="1:2" x14ac:dyDescent="0.25">
      <c r="A80" s="19" t="s">
        <v>673</v>
      </c>
      <c r="B80">
        <v>116757</v>
      </c>
    </row>
    <row r="81" spans="1:2" x14ac:dyDescent="0.25">
      <c r="A81" s="19" t="s">
        <v>394</v>
      </c>
      <c r="B81">
        <v>82484</v>
      </c>
    </row>
    <row r="82" spans="1:2" x14ac:dyDescent="0.25">
      <c r="A82" s="19" t="s">
        <v>477</v>
      </c>
      <c r="B82">
        <v>15777</v>
      </c>
    </row>
    <row r="83" spans="1:2" x14ac:dyDescent="0.25">
      <c r="A83" s="19" t="s">
        <v>500</v>
      </c>
      <c r="B83">
        <v>68100</v>
      </c>
    </row>
    <row r="84" spans="1:2" x14ac:dyDescent="0.25">
      <c r="A84" s="19" t="s">
        <v>660</v>
      </c>
      <c r="B84">
        <v>47266</v>
      </c>
    </row>
    <row r="85" spans="1:2" x14ac:dyDescent="0.25">
      <c r="A85" s="19" t="s">
        <v>581</v>
      </c>
      <c r="B85">
        <v>89786</v>
      </c>
    </row>
    <row r="86" spans="1:2" x14ac:dyDescent="0.25">
      <c r="A86" s="19" t="s">
        <v>151</v>
      </c>
      <c r="B86">
        <v>185473</v>
      </c>
    </row>
    <row r="87" spans="1:2" x14ac:dyDescent="0.25">
      <c r="A87" s="19" t="s">
        <v>209</v>
      </c>
      <c r="B87">
        <v>127865</v>
      </c>
    </row>
    <row r="88" spans="1:2" x14ac:dyDescent="0.25">
      <c r="A88" s="19" t="s">
        <v>234</v>
      </c>
      <c r="B88">
        <v>84078</v>
      </c>
    </row>
    <row r="89" spans="1:2" x14ac:dyDescent="0.25">
      <c r="A89" s="19" t="s">
        <v>335</v>
      </c>
      <c r="B89">
        <v>73381</v>
      </c>
    </row>
    <row r="90" spans="1:2" x14ac:dyDescent="0.25">
      <c r="A90" s="19" t="s">
        <v>137</v>
      </c>
      <c r="B90">
        <v>46662</v>
      </c>
    </row>
    <row r="91" spans="1:2" x14ac:dyDescent="0.25">
      <c r="A91" s="19" t="s">
        <v>530</v>
      </c>
      <c r="B91">
        <v>61440</v>
      </c>
    </row>
    <row r="92" spans="1:2" x14ac:dyDescent="0.25">
      <c r="A92" s="19" t="s">
        <v>298</v>
      </c>
      <c r="B92">
        <v>14536</v>
      </c>
    </row>
    <row r="93" spans="1:2" x14ac:dyDescent="0.25">
      <c r="A93" s="19" t="s">
        <v>123</v>
      </c>
      <c r="B93">
        <v>37017</v>
      </c>
    </row>
    <row r="94" spans="1:2" x14ac:dyDescent="0.25">
      <c r="A94" s="19" t="s">
        <v>306</v>
      </c>
      <c r="B94">
        <v>9570</v>
      </c>
    </row>
    <row r="95" spans="1:2" x14ac:dyDescent="0.25">
      <c r="A95" s="19" t="s">
        <v>848</v>
      </c>
      <c r="B95">
        <v>3220</v>
      </c>
    </row>
    <row r="96" spans="1:2" x14ac:dyDescent="0.25">
      <c r="A96" s="19" t="s">
        <v>357</v>
      </c>
      <c r="B96">
        <v>104555</v>
      </c>
    </row>
    <row r="97" spans="1:2" x14ac:dyDescent="0.25">
      <c r="A97" s="19" t="s">
        <v>71</v>
      </c>
      <c r="B97">
        <v>101102</v>
      </c>
    </row>
    <row r="98" spans="1:2" x14ac:dyDescent="0.25">
      <c r="A98" s="19" t="s">
        <v>569</v>
      </c>
      <c r="B98">
        <v>61510</v>
      </c>
    </row>
    <row r="99" spans="1:2" x14ac:dyDescent="0.25">
      <c r="A99" s="19" t="s">
        <v>435</v>
      </c>
      <c r="B99">
        <v>57631</v>
      </c>
    </row>
    <row r="100" spans="1:2" x14ac:dyDescent="0.25">
      <c r="A100" s="19" t="s">
        <v>345</v>
      </c>
      <c r="B100">
        <v>22410</v>
      </c>
    </row>
    <row r="101" spans="1:2" x14ac:dyDescent="0.25">
      <c r="A101" s="19" t="s">
        <v>264</v>
      </c>
      <c r="B101">
        <v>116358</v>
      </c>
    </row>
    <row r="102" spans="1:2" x14ac:dyDescent="0.25">
      <c r="A102" s="19" t="s">
        <v>313</v>
      </c>
      <c r="B102">
        <v>38965</v>
      </c>
    </row>
    <row r="103" spans="1:2" x14ac:dyDescent="0.25">
      <c r="A103" s="19" t="s">
        <v>149</v>
      </c>
      <c r="B103">
        <v>105630</v>
      </c>
    </row>
    <row r="104" spans="1:2" x14ac:dyDescent="0.25">
      <c r="A104" s="19" t="s">
        <v>139</v>
      </c>
      <c r="B104">
        <v>85072</v>
      </c>
    </row>
    <row r="105" spans="1:2" x14ac:dyDescent="0.25">
      <c r="A105" s="19" t="s">
        <v>693</v>
      </c>
      <c r="B105">
        <v>9395</v>
      </c>
    </row>
    <row r="106" spans="1:2" x14ac:dyDescent="0.25">
      <c r="A106" s="19" t="s">
        <v>447</v>
      </c>
      <c r="B106">
        <v>9162</v>
      </c>
    </row>
    <row r="107" spans="1:2" x14ac:dyDescent="0.25">
      <c r="A107" s="19" t="s">
        <v>640</v>
      </c>
      <c r="B107">
        <v>111800</v>
      </c>
    </row>
    <row r="108" spans="1:2" x14ac:dyDescent="0.25">
      <c r="A108" s="19" t="s">
        <v>77</v>
      </c>
      <c r="B108">
        <v>61371</v>
      </c>
    </row>
    <row r="109" spans="1:2" x14ac:dyDescent="0.25">
      <c r="A109" s="19" t="s">
        <v>534</v>
      </c>
      <c r="B109">
        <v>96790</v>
      </c>
    </row>
    <row r="110" spans="1:2" x14ac:dyDescent="0.25">
      <c r="A110" s="19" t="s">
        <v>869</v>
      </c>
      <c r="B110">
        <v>44478</v>
      </c>
    </row>
    <row r="111" spans="1:2" x14ac:dyDescent="0.25">
      <c r="A111" s="19" t="s">
        <v>863</v>
      </c>
      <c r="B111">
        <v>78660</v>
      </c>
    </row>
    <row r="112" spans="1:2" x14ac:dyDescent="0.25">
      <c r="A112" s="19" t="s">
        <v>851</v>
      </c>
      <c r="B112">
        <v>13592</v>
      </c>
    </row>
    <row r="113" spans="1:2" x14ac:dyDescent="0.25">
      <c r="A113" s="19" t="s">
        <v>361</v>
      </c>
      <c r="B113">
        <v>40215</v>
      </c>
    </row>
    <row r="114" spans="1:2" x14ac:dyDescent="0.25">
      <c r="A114" s="19" t="s">
        <v>557</v>
      </c>
      <c r="B114">
        <v>99992</v>
      </c>
    </row>
    <row r="115" spans="1:2" x14ac:dyDescent="0.25">
      <c r="A115" s="19" t="s">
        <v>613</v>
      </c>
      <c r="B115">
        <v>5775</v>
      </c>
    </row>
    <row r="116" spans="1:2" x14ac:dyDescent="0.25">
      <c r="A116" s="19" t="s">
        <v>509</v>
      </c>
      <c r="B116">
        <v>197448</v>
      </c>
    </row>
    <row r="117" spans="1:2" x14ac:dyDescent="0.25">
      <c r="A117" s="19" t="s">
        <v>143</v>
      </c>
      <c r="B117">
        <v>140414</v>
      </c>
    </row>
    <row r="118" spans="1:2" x14ac:dyDescent="0.25">
      <c r="A118" s="19" t="s">
        <v>749</v>
      </c>
      <c r="B118">
        <v>17280</v>
      </c>
    </row>
    <row r="119" spans="1:2" x14ac:dyDescent="0.25">
      <c r="A119" s="19" t="s">
        <v>278</v>
      </c>
      <c r="B119">
        <v>35255</v>
      </c>
    </row>
    <row r="120" spans="1:2" x14ac:dyDescent="0.25">
      <c r="A120" s="19" t="s">
        <v>696</v>
      </c>
      <c r="B120">
        <v>119531</v>
      </c>
    </row>
    <row r="121" spans="1:2" x14ac:dyDescent="0.25">
      <c r="A121" s="19" t="s">
        <v>207</v>
      </c>
      <c r="B121">
        <v>177099</v>
      </c>
    </row>
    <row r="122" spans="1:2" x14ac:dyDescent="0.25">
      <c r="A122" s="19" t="s">
        <v>315</v>
      </c>
      <c r="B122">
        <v>94816</v>
      </c>
    </row>
    <row r="123" spans="1:2" x14ac:dyDescent="0.25">
      <c r="A123" s="19" t="s">
        <v>79</v>
      </c>
      <c r="B123">
        <v>133995</v>
      </c>
    </row>
    <row r="124" spans="1:2" x14ac:dyDescent="0.25">
      <c r="A124" s="19" t="s">
        <v>284</v>
      </c>
      <c r="B124">
        <v>64631</v>
      </c>
    </row>
    <row r="125" spans="1:2" x14ac:dyDescent="0.25">
      <c r="A125" s="19" t="s">
        <v>687</v>
      </c>
      <c r="B125">
        <v>11627</v>
      </c>
    </row>
    <row r="126" spans="1:2" x14ac:dyDescent="0.25">
      <c r="A126" s="19" t="s">
        <v>212</v>
      </c>
      <c r="B126">
        <v>70890</v>
      </c>
    </row>
    <row r="127" spans="1:2" x14ac:dyDescent="0.25">
      <c r="A127" s="19" t="s">
        <v>106</v>
      </c>
      <c r="B127">
        <v>178121</v>
      </c>
    </row>
    <row r="128" spans="1:2" x14ac:dyDescent="0.25">
      <c r="A128" s="19" t="s">
        <v>32</v>
      </c>
      <c r="B128">
        <v>25036</v>
      </c>
    </row>
    <row r="129" spans="1:2" x14ac:dyDescent="0.25">
      <c r="A129" s="19" t="s">
        <v>449</v>
      </c>
      <c r="B129">
        <v>31735</v>
      </c>
    </row>
    <row r="130" spans="1:2" x14ac:dyDescent="0.25">
      <c r="A130" s="19" t="s">
        <v>182</v>
      </c>
      <c r="B130">
        <v>87997</v>
      </c>
    </row>
    <row r="131" spans="1:2" x14ac:dyDescent="0.25">
      <c r="A131" s="19" t="s">
        <v>786</v>
      </c>
      <c r="B131">
        <v>26898</v>
      </c>
    </row>
    <row r="132" spans="1:2" x14ac:dyDescent="0.25">
      <c r="A132" s="19" t="s">
        <v>559</v>
      </c>
      <c r="B132">
        <v>93581</v>
      </c>
    </row>
    <row r="133" spans="1:2" x14ac:dyDescent="0.25">
      <c r="A133" s="19" t="s">
        <v>289</v>
      </c>
      <c r="B133">
        <v>108524</v>
      </c>
    </row>
    <row r="134" spans="1:2" x14ac:dyDescent="0.25">
      <c r="A134" s="19" t="s">
        <v>399</v>
      </c>
      <c r="B134">
        <v>42025</v>
      </c>
    </row>
    <row r="135" spans="1:2" x14ac:dyDescent="0.25">
      <c r="A135" s="19" t="s">
        <v>104</v>
      </c>
      <c r="B135">
        <v>160858</v>
      </c>
    </row>
    <row r="136" spans="1:2" x14ac:dyDescent="0.25">
      <c r="A136" s="19" t="s">
        <v>682</v>
      </c>
      <c r="B136">
        <v>64680</v>
      </c>
    </row>
    <row r="137" spans="1:2" x14ac:dyDescent="0.25">
      <c r="A137" s="19" t="s">
        <v>835</v>
      </c>
      <c r="B137">
        <v>1646</v>
      </c>
    </row>
    <row r="138" spans="1:2" x14ac:dyDescent="0.25">
      <c r="A138" s="19" t="s">
        <v>801</v>
      </c>
      <c r="B138">
        <v>71846</v>
      </c>
    </row>
    <row r="139" spans="1:2" x14ac:dyDescent="0.25">
      <c r="A139" s="19" t="s">
        <v>161</v>
      </c>
      <c r="B139">
        <v>137567</v>
      </c>
    </row>
    <row r="140" spans="1:2" x14ac:dyDescent="0.25">
      <c r="A140" s="19" t="s">
        <v>722</v>
      </c>
      <c r="B140">
        <v>29490</v>
      </c>
    </row>
    <row r="141" spans="1:2" x14ac:dyDescent="0.25">
      <c r="A141" s="19" t="s">
        <v>464</v>
      </c>
      <c r="B141">
        <v>15936</v>
      </c>
    </row>
    <row r="142" spans="1:2" x14ac:dyDescent="0.25">
      <c r="A142" s="19" t="s">
        <v>133</v>
      </c>
      <c r="B142">
        <v>23795</v>
      </c>
    </row>
    <row r="143" spans="1:2" x14ac:dyDescent="0.25">
      <c r="A143" s="19" t="s">
        <v>410</v>
      </c>
      <c r="B143">
        <v>37436</v>
      </c>
    </row>
    <row r="144" spans="1:2" x14ac:dyDescent="0.25">
      <c r="A144" s="19" t="s">
        <v>669</v>
      </c>
      <c r="B144">
        <v>67977</v>
      </c>
    </row>
    <row r="145" spans="1:2" x14ac:dyDescent="0.25">
      <c r="A145" s="19" t="s">
        <v>547</v>
      </c>
      <c r="B145">
        <v>27944</v>
      </c>
    </row>
    <row r="146" spans="1:2" x14ac:dyDescent="0.25">
      <c r="A146" s="19" t="s">
        <v>239</v>
      </c>
      <c r="B146">
        <v>66261</v>
      </c>
    </row>
    <row r="147" spans="1:2" x14ac:dyDescent="0.25">
      <c r="A147" s="19" t="s">
        <v>159</v>
      </c>
      <c r="B147">
        <v>48882</v>
      </c>
    </row>
    <row r="148" spans="1:2" x14ac:dyDescent="0.25">
      <c r="A148" s="19" t="s">
        <v>131</v>
      </c>
      <c r="B148">
        <v>100263</v>
      </c>
    </row>
    <row r="149" spans="1:2" x14ac:dyDescent="0.25">
      <c r="A149" s="19" t="s">
        <v>63</v>
      </c>
      <c r="B149">
        <v>44775</v>
      </c>
    </row>
    <row r="150" spans="1:2" x14ac:dyDescent="0.25">
      <c r="A150" s="19" t="s">
        <v>628</v>
      </c>
      <c r="B150">
        <v>167363</v>
      </c>
    </row>
    <row r="151" spans="1:2" x14ac:dyDescent="0.25">
      <c r="A151" s="19" t="s">
        <v>596</v>
      </c>
      <c r="B151">
        <v>190450</v>
      </c>
    </row>
    <row r="152" spans="1:2" x14ac:dyDescent="0.25">
      <c r="A152" s="19" t="s">
        <v>359</v>
      </c>
      <c r="B152">
        <v>58107</v>
      </c>
    </row>
    <row r="153" spans="1:2" x14ac:dyDescent="0.25">
      <c r="A153" s="19" t="s">
        <v>180</v>
      </c>
      <c r="B153">
        <v>20470</v>
      </c>
    </row>
    <row r="154" spans="1:2" x14ac:dyDescent="0.25">
      <c r="A154" s="19" t="s">
        <v>412</v>
      </c>
      <c r="B154">
        <v>39092</v>
      </c>
    </row>
    <row r="155" spans="1:2" x14ac:dyDescent="0.25">
      <c r="A155" s="19" t="s">
        <v>630</v>
      </c>
      <c r="B155">
        <v>8855</v>
      </c>
    </row>
    <row r="156" spans="1:2" x14ac:dyDescent="0.25">
      <c r="A156" s="19" t="s">
        <v>108</v>
      </c>
      <c r="B156">
        <v>102401</v>
      </c>
    </row>
    <row r="157" spans="1:2" x14ac:dyDescent="0.25">
      <c r="A157" s="19" t="s">
        <v>157</v>
      </c>
      <c r="B157">
        <v>47925</v>
      </c>
    </row>
    <row r="158" spans="1:2" x14ac:dyDescent="0.25">
      <c r="A158" s="19" t="s">
        <v>492</v>
      </c>
      <c r="B158">
        <v>7945</v>
      </c>
    </row>
    <row r="159" spans="1:2" x14ac:dyDescent="0.25">
      <c r="A159" s="19" t="s">
        <v>731</v>
      </c>
      <c r="B159">
        <v>74633</v>
      </c>
    </row>
    <row r="160" spans="1:2" x14ac:dyDescent="0.25">
      <c r="A160" s="19" t="s">
        <v>347</v>
      </c>
      <c r="B160">
        <v>68015</v>
      </c>
    </row>
    <row r="161" spans="1:2" x14ac:dyDescent="0.25">
      <c r="A161" s="19" t="s">
        <v>561</v>
      </c>
      <c r="B161">
        <v>96705</v>
      </c>
    </row>
    <row r="162" spans="1:2" x14ac:dyDescent="0.25">
      <c r="A162" s="19" t="s">
        <v>520</v>
      </c>
      <c r="B162">
        <v>29244</v>
      </c>
    </row>
    <row r="163" spans="1:2" x14ac:dyDescent="0.25">
      <c r="A163" s="19" t="s">
        <v>911</v>
      </c>
      <c r="B163">
        <v>38640</v>
      </c>
    </row>
    <row r="164" spans="1:2" x14ac:dyDescent="0.25">
      <c r="A164" s="19" t="s">
        <v>141</v>
      </c>
      <c r="B164">
        <v>29380</v>
      </c>
    </row>
    <row r="165" spans="1:2" x14ac:dyDescent="0.25">
      <c r="A165" s="19" t="s">
        <v>93</v>
      </c>
      <c r="B165">
        <v>111427</v>
      </c>
    </row>
    <row r="166" spans="1:2" x14ac:dyDescent="0.25">
      <c r="A166" s="19" t="s">
        <v>765</v>
      </c>
      <c r="B166">
        <v>112365</v>
      </c>
    </row>
    <row r="167" spans="1:2" x14ac:dyDescent="0.25">
      <c r="A167" s="19" t="s">
        <v>69</v>
      </c>
      <c r="B167">
        <v>96160</v>
      </c>
    </row>
    <row r="168" spans="1:2" x14ac:dyDescent="0.25">
      <c r="A168" s="19" t="s">
        <v>422</v>
      </c>
      <c r="B168">
        <v>114362</v>
      </c>
    </row>
    <row r="169" spans="1:2" x14ac:dyDescent="0.25">
      <c r="A169" s="19" t="s">
        <v>226</v>
      </c>
      <c r="B169">
        <v>46040</v>
      </c>
    </row>
    <row r="170" spans="1:2" x14ac:dyDescent="0.25">
      <c r="A170" s="19" t="s">
        <v>479</v>
      </c>
      <c r="B170">
        <v>114110</v>
      </c>
    </row>
    <row r="171" spans="1:2" x14ac:dyDescent="0.25">
      <c r="A171" s="19" t="s">
        <v>270</v>
      </c>
      <c r="B171">
        <v>70132</v>
      </c>
    </row>
    <row r="172" spans="1:2" x14ac:dyDescent="0.25">
      <c r="A172" s="19" t="s">
        <v>735</v>
      </c>
      <c r="B172">
        <v>78195</v>
      </c>
    </row>
    <row r="173" spans="1:2" x14ac:dyDescent="0.25">
      <c r="A173" s="19" t="s">
        <v>295</v>
      </c>
      <c r="B173">
        <v>144324</v>
      </c>
    </row>
    <row r="174" spans="1:2" x14ac:dyDescent="0.25">
      <c r="A174" s="19" t="s">
        <v>451</v>
      </c>
      <c r="B174">
        <v>182592</v>
      </c>
    </row>
    <row r="175" spans="1:2" x14ac:dyDescent="0.25">
      <c r="A175" s="19" t="s">
        <v>718</v>
      </c>
      <c r="B175">
        <v>11163</v>
      </c>
    </row>
    <row r="176" spans="1:2" x14ac:dyDescent="0.25">
      <c r="A176" s="19" t="s">
        <v>475</v>
      </c>
      <c r="B176">
        <v>61920</v>
      </c>
    </row>
    <row r="177" spans="1:2" x14ac:dyDescent="0.25">
      <c r="A177" s="19" t="s">
        <v>397</v>
      </c>
      <c r="B177">
        <v>35846</v>
      </c>
    </row>
    <row r="178" spans="1:2" x14ac:dyDescent="0.25">
      <c r="A178" s="19" t="s">
        <v>505</v>
      </c>
      <c r="B178">
        <v>49011</v>
      </c>
    </row>
    <row r="179" spans="1:2" x14ac:dyDescent="0.25">
      <c r="A179" s="19" t="s">
        <v>102</v>
      </c>
      <c r="B179">
        <v>54891</v>
      </c>
    </row>
    <row r="180" spans="1:2" x14ac:dyDescent="0.25">
      <c r="A180" s="19" t="s">
        <v>331</v>
      </c>
      <c r="B180">
        <v>49047</v>
      </c>
    </row>
    <row r="181" spans="1:2" x14ac:dyDescent="0.25">
      <c r="A181" s="19" t="s">
        <v>228</v>
      </c>
      <c r="B181">
        <v>43188</v>
      </c>
    </row>
    <row r="182" spans="1:2" x14ac:dyDescent="0.25">
      <c r="A182" s="19" t="s">
        <v>428</v>
      </c>
      <c r="B182">
        <v>142051</v>
      </c>
    </row>
    <row r="183" spans="1:2" x14ac:dyDescent="0.25">
      <c r="A183" s="19" t="s">
        <v>774</v>
      </c>
      <c r="B183">
        <v>848</v>
      </c>
    </row>
    <row r="184" spans="1:2" x14ac:dyDescent="0.25">
      <c r="A184" s="19" t="s">
        <v>249</v>
      </c>
      <c r="B184">
        <v>103986</v>
      </c>
    </row>
    <row r="185" spans="1:2" x14ac:dyDescent="0.25">
      <c r="A185" s="19" t="s">
        <v>366</v>
      </c>
      <c r="B185">
        <v>135834</v>
      </c>
    </row>
    <row r="186" spans="1:2" x14ac:dyDescent="0.25">
      <c r="A186" s="19" t="s">
        <v>799</v>
      </c>
      <c r="B186">
        <v>11938</v>
      </c>
    </row>
    <row r="187" spans="1:2" x14ac:dyDescent="0.25">
      <c r="A187" s="19" t="s">
        <v>56</v>
      </c>
      <c r="B187">
        <v>25030</v>
      </c>
    </row>
    <row r="188" spans="1:2" x14ac:dyDescent="0.25">
      <c r="A188" s="19" t="s">
        <v>711</v>
      </c>
      <c r="B188">
        <v>40220</v>
      </c>
    </row>
    <row r="189" spans="1:2" x14ac:dyDescent="0.25">
      <c r="A189" s="19" t="s">
        <v>243</v>
      </c>
      <c r="B189">
        <v>139209</v>
      </c>
    </row>
    <row r="190" spans="1:2" x14ac:dyDescent="0.25">
      <c r="A190" s="19" t="s">
        <v>73</v>
      </c>
      <c r="B190">
        <v>109819</v>
      </c>
    </row>
    <row r="191" spans="1:2" x14ac:dyDescent="0.25">
      <c r="A191" s="19" t="s">
        <v>266</v>
      </c>
      <c r="B191">
        <v>105688</v>
      </c>
    </row>
    <row r="192" spans="1:2" x14ac:dyDescent="0.25">
      <c r="A192" s="19" t="s">
        <v>904</v>
      </c>
      <c r="B192">
        <v>42244</v>
      </c>
    </row>
    <row r="193" spans="1:2" x14ac:dyDescent="0.25">
      <c r="A193" s="19" t="s">
        <v>121</v>
      </c>
      <c r="B193">
        <v>96017</v>
      </c>
    </row>
    <row r="194" spans="1:2" x14ac:dyDescent="0.25">
      <c r="A194" s="19" t="s">
        <v>83</v>
      </c>
      <c r="B194">
        <v>11101</v>
      </c>
    </row>
    <row r="195" spans="1:2" x14ac:dyDescent="0.25">
      <c r="A195" s="19" t="s">
        <v>39</v>
      </c>
      <c r="B195">
        <v>165404</v>
      </c>
    </row>
    <row r="196" spans="1:2" x14ac:dyDescent="0.25">
      <c r="A196" s="19" t="s">
        <v>291</v>
      </c>
      <c r="B196">
        <v>87805</v>
      </c>
    </row>
    <row r="197" spans="1:2" x14ac:dyDescent="0.25">
      <c r="A197" s="19" t="s">
        <v>199</v>
      </c>
      <c r="B197">
        <v>12534</v>
      </c>
    </row>
    <row r="198" spans="1:2" x14ac:dyDescent="0.25">
      <c r="A198" s="19" t="s">
        <v>197</v>
      </c>
      <c r="B198">
        <v>28014</v>
      </c>
    </row>
    <row r="199" spans="1:2" x14ac:dyDescent="0.25">
      <c r="A199" s="19" t="s">
        <v>371</v>
      </c>
      <c r="B199">
        <v>56370</v>
      </c>
    </row>
    <row r="200" spans="1:2" x14ac:dyDescent="0.25">
      <c r="A200" s="19" t="s">
        <v>443</v>
      </c>
      <c r="B200">
        <v>81280</v>
      </c>
    </row>
    <row r="201" spans="1:2" x14ac:dyDescent="0.25">
      <c r="A201" s="19" t="s">
        <v>216</v>
      </c>
      <c r="B201">
        <v>105710</v>
      </c>
    </row>
    <row r="202" spans="1:2" x14ac:dyDescent="0.25">
      <c r="A202" s="19" t="s">
        <v>48</v>
      </c>
      <c r="B202">
        <v>12765</v>
      </c>
    </row>
    <row r="203" spans="1:2" x14ac:dyDescent="0.25">
      <c r="A203" s="19" t="s">
        <v>380</v>
      </c>
      <c r="B203">
        <v>16452</v>
      </c>
    </row>
    <row r="204" spans="1:2" x14ac:dyDescent="0.25">
      <c r="A204" s="19" t="s">
        <v>147</v>
      </c>
      <c r="B204">
        <v>139738</v>
      </c>
    </row>
    <row r="205" spans="1:2" x14ac:dyDescent="0.25">
      <c r="A205" s="19" t="s">
        <v>115</v>
      </c>
      <c r="B205">
        <v>64132</v>
      </c>
    </row>
    <row r="206" spans="1:2" x14ac:dyDescent="0.25">
      <c r="A206" s="19" t="s">
        <v>58</v>
      </c>
      <c r="B206">
        <v>39008</v>
      </c>
    </row>
    <row r="207" spans="1:2" x14ac:dyDescent="0.25">
      <c r="A207" s="19" t="s">
        <v>364</v>
      </c>
      <c r="B207">
        <v>145036</v>
      </c>
    </row>
    <row r="208" spans="1:2" x14ac:dyDescent="0.25">
      <c r="A208" s="19" t="s">
        <v>511</v>
      </c>
      <c r="B208">
        <v>64721</v>
      </c>
    </row>
    <row r="209" spans="1:2" x14ac:dyDescent="0.25">
      <c r="A209" s="19" t="s">
        <v>259</v>
      </c>
      <c r="B209">
        <v>84292</v>
      </c>
    </row>
    <row r="210" spans="1:2" x14ac:dyDescent="0.25">
      <c r="A210" s="19" t="s">
        <v>261</v>
      </c>
      <c r="B210">
        <v>38448</v>
      </c>
    </row>
    <row r="211" spans="1:2" x14ac:dyDescent="0.25">
      <c r="A211" s="19" t="s">
        <v>304</v>
      </c>
      <c r="B211">
        <v>136738</v>
      </c>
    </row>
    <row r="212" spans="1:2" x14ac:dyDescent="0.25">
      <c r="A212" s="19" t="s">
        <v>974</v>
      </c>
      <c r="B212">
        <v>8876</v>
      </c>
    </row>
    <row r="213" spans="1:2" x14ac:dyDescent="0.25">
      <c r="A213" s="19" t="s">
        <v>251</v>
      </c>
      <c r="B213">
        <v>53237</v>
      </c>
    </row>
    <row r="214" spans="1:2" x14ac:dyDescent="0.25">
      <c r="A214" s="19" t="s">
        <v>518</v>
      </c>
      <c r="B214">
        <v>59477</v>
      </c>
    </row>
    <row r="215" spans="1:2" x14ac:dyDescent="0.25">
      <c r="A215" s="19" t="s">
        <v>230</v>
      </c>
      <c r="B215">
        <v>148892</v>
      </c>
    </row>
    <row r="216" spans="1:2" x14ac:dyDescent="0.25">
      <c r="A216" s="19" t="s">
        <v>703</v>
      </c>
      <c r="B216">
        <v>5205</v>
      </c>
    </row>
    <row r="217" spans="1:2" x14ac:dyDescent="0.25">
      <c r="A217" s="19" t="s">
        <v>214</v>
      </c>
      <c r="B217">
        <v>9726</v>
      </c>
    </row>
    <row r="218" spans="1:2" x14ac:dyDescent="0.25">
      <c r="A218" s="19" t="s">
        <v>327</v>
      </c>
      <c r="B218">
        <v>34605</v>
      </c>
    </row>
    <row r="219" spans="1:2" x14ac:dyDescent="0.25">
      <c r="A219" s="19" t="s">
        <v>75</v>
      </c>
      <c r="B219">
        <v>53412</v>
      </c>
    </row>
    <row r="220" spans="1:2" x14ac:dyDescent="0.25">
      <c r="A220" s="19" t="s">
        <v>222</v>
      </c>
      <c r="B220">
        <v>100078</v>
      </c>
    </row>
    <row r="221" spans="1:2" x14ac:dyDescent="0.25">
      <c r="A221" s="19" t="s">
        <v>232</v>
      </c>
      <c r="B221">
        <v>86022</v>
      </c>
    </row>
    <row r="222" spans="1:2" x14ac:dyDescent="0.25">
      <c r="A222" s="19" t="s">
        <v>375</v>
      </c>
      <c r="B222">
        <v>48008</v>
      </c>
    </row>
    <row r="223" spans="1:2" x14ac:dyDescent="0.25">
      <c r="A223" s="19" t="s">
        <v>338</v>
      </c>
      <c r="B223">
        <v>93656</v>
      </c>
    </row>
    <row r="224" spans="1:2" x14ac:dyDescent="0.25">
      <c r="A224" s="19" t="s">
        <v>247</v>
      </c>
      <c r="B224">
        <v>7764</v>
      </c>
    </row>
    <row r="225" spans="1:2" x14ac:dyDescent="0.25">
      <c r="A225" s="19" t="s">
        <v>53</v>
      </c>
      <c r="B225">
        <v>47973</v>
      </c>
    </row>
    <row r="226" spans="1:2" x14ac:dyDescent="0.25">
      <c r="A226" s="19" t="s">
        <v>615</v>
      </c>
      <c r="B226">
        <v>66537</v>
      </c>
    </row>
    <row r="227" spans="1:2" x14ac:dyDescent="0.25">
      <c r="A227" s="19" t="s">
        <v>406</v>
      </c>
      <c r="B227">
        <v>12947</v>
      </c>
    </row>
    <row r="228" spans="1:2" x14ac:dyDescent="0.25">
      <c r="A228" s="19" t="s">
        <v>516</v>
      </c>
      <c r="B228">
        <v>78080</v>
      </c>
    </row>
    <row r="229" spans="1:2" x14ac:dyDescent="0.25">
      <c r="A229" s="19" t="s">
        <v>236</v>
      </c>
      <c r="B229">
        <v>58035</v>
      </c>
    </row>
    <row r="230" spans="1:2" x14ac:dyDescent="0.25">
      <c r="A230" s="19" t="s">
        <v>117</v>
      </c>
      <c r="B230">
        <v>190650</v>
      </c>
    </row>
    <row r="231" spans="1:2" x14ac:dyDescent="0.25">
      <c r="A231" s="19" t="s">
        <v>204</v>
      </c>
      <c r="B231">
        <v>232545</v>
      </c>
    </row>
    <row r="232" spans="1:2" x14ac:dyDescent="0.25">
      <c r="A232" s="19" t="s">
        <v>128</v>
      </c>
      <c r="B232">
        <v>98488</v>
      </c>
    </row>
    <row r="233" spans="1:2" x14ac:dyDescent="0.25">
      <c r="A233" s="19" t="s">
        <v>971</v>
      </c>
      <c r="B233">
        <v>32835</v>
      </c>
    </row>
    <row r="234" spans="1:2" x14ac:dyDescent="0.25">
      <c r="A234" s="19" t="s">
        <v>747</v>
      </c>
      <c r="B234">
        <v>34368</v>
      </c>
    </row>
    <row r="235" spans="1:2" x14ac:dyDescent="0.25">
      <c r="A235" s="19" t="s">
        <v>286</v>
      </c>
      <c r="B235">
        <v>55790</v>
      </c>
    </row>
    <row r="236" spans="1:2" x14ac:dyDescent="0.25">
      <c r="A236" s="19" t="s">
        <v>781</v>
      </c>
      <c r="B236">
        <v>5748</v>
      </c>
    </row>
    <row r="237" spans="1:2" x14ac:dyDescent="0.25">
      <c r="A237" s="19" t="s">
        <v>888</v>
      </c>
      <c r="B237">
        <v>28971</v>
      </c>
    </row>
    <row r="238" spans="1:2" x14ac:dyDescent="0.25">
      <c r="A238" s="19" t="s">
        <v>635</v>
      </c>
      <c r="B238">
        <v>53129</v>
      </c>
    </row>
    <row r="239" spans="1:2" x14ac:dyDescent="0.25">
      <c r="A239" s="19" t="s">
        <v>626</v>
      </c>
      <c r="B239">
        <v>46046</v>
      </c>
    </row>
    <row r="240" spans="1:2" x14ac:dyDescent="0.25">
      <c r="A240" s="19" t="s">
        <v>368</v>
      </c>
      <c r="B240">
        <v>205457</v>
      </c>
    </row>
    <row r="241" spans="1:2" x14ac:dyDescent="0.25">
      <c r="A241" s="19" t="s">
        <v>112</v>
      </c>
      <c r="B241">
        <v>20664</v>
      </c>
    </row>
    <row r="242" spans="1:2" x14ac:dyDescent="0.25">
      <c r="A242" s="19" t="s">
        <v>524</v>
      </c>
      <c r="B242">
        <v>13210</v>
      </c>
    </row>
    <row r="243" spans="1:2" x14ac:dyDescent="0.25">
      <c r="A243" s="19" t="s">
        <v>245</v>
      </c>
      <c r="B243">
        <v>45668</v>
      </c>
    </row>
    <row r="244" spans="1:2" x14ac:dyDescent="0.25">
      <c r="A244" s="19" t="s">
        <v>354</v>
      </c>
      <c r="B244">
        <v>29889</v>
      </c>
    </row>
    <row r="245" spans="1:2" x14ac:dyDescent="0.25">
      <c r="A245" s="19" t="s">
        <v>676</v>
      </c>
      <c r="B245">
        <v>23560</v>
      </c>
    </row>
    <row r="246" spans="1:2" x14ac:dyDescent="0.25">
      <c r="A246" s="19" t="s">
        <v>584</v>
      </c>
      <c r="B246">
        <v>25356</v>
      </c>
    </row>
    <row r="247" spans="1:2" x14ac:dyDescent="0.25">
      <c r="A247" s="19" t="s">
        <v>30</v>
      </c>
      <c r="B247">
        <v>34575</v>
      </c>
    </row>
    <row r="248" spans="1:2" x14ac:dyDescent="0.25">
      <c r="A248" s="19" t="s">
        <v>323</v>
      </c>
      <c r="B248">
        <v>78278</v>
      </c>
    </row>
    <row r="249" spans="1:2" x14ac:dyDescent="0.25">
      <c r="A249" s="19" t="s">
        <v>184</v>
      </c>
      <c r="B249">
        <v>156148</v>
      </c>
    </row>
    <row r="250" spans="1:2" x14ac:dyDescent="0.25">
      <c r="A250" s="19" t="s">
        <v>100</v>
      </c>
      <c r="B250">
        <v>134701</v>
      </c>
    </row>
    <row r="251" spans="1:2" x14ac:dyDescent="0.25">
      <c r="A251" s="19" t="s">
        <v>351</v>
      </c>
      <c r="B251">
        <v>91753</v>
      </c>
    </row>
    <row r="252" spans="1:2" x14ac:dyDescent="0.25">
      <c r="A252" s="19" t="s">
        <v>65</v>
      </c>
      <c r="B252">
        <v>246819</v>
      </c>
    </row>
    <row r="253" spans="1:2" x14ac:dyDescent="0.25">
      <c r="A253" s="19" t="s">
        <v>540</v>
      </c>
      <c r="B253">
        <v>23510</v>
      </c>
    </row>
    <row r="254" spans="1:2" x14ac:dyDescent="0.25">
      <c r="A254" s="19" t="s">
        <v>579</v>
      </c>
      <c r="B254">
        <v>28792</v>
      </c>
    </row>
    <row r="255" spans="1:2" x14ac:dyDescent="0.25">
      <c r="A255" s="19" t="s">
        <v>845</v>
      </c>
      <c r="B255">
        <v>52720</v>
      </c>
    </row>
    <row r="256" spans="1:2" x14ac:dyDescent="0.25">
      <c r="A256" s="19" t="s">
        <v>691</v>
      </c>
      <c r="B256">
        <v>105330</v>
      </c>
    </row>
    <row r="257" spans="1:2" x14ac:dyDescent="0.25">
      <c r="A257" s="19" t="s">
        <v>880</v>
      </c>
      <c r="B257">
        <v>41436</v>
      </c>
    </row>
    <row r="258" spans="1:2" x14ac:dyDescent="0.25">
      <c r="A258" s="19" t="s">
        <v>318</v>
      </c>
      <c r="B258">
        <v>8775</v>
      </c>
    </row>
    <row r="259" spans="1:2" x14ac:dyDescent="0.25">
      <c r="A259" s="19" t="s">
        <v>166</v>
      </c>
      <c r="B259">
        <v>152247</v>
      </c>
    </row>
    <row r="260" spans="1:2" x14ac:dyDescent="0.25">
      <c r="A260" s="19" t="s">
        <v>282</v>
      </c>
      <c r="B260">
        <v>80040</v>
      </c>
    </row>
    <row r="261" spans="1:2" x14ac:dyDescent="0.25">
      <c r="A261" s="19" t="s">
        <v>384</v>
      </c>
      <c r="B261">
        <v>110117</v>
      </c>
    </row>
    <row r="262" spans="1:2" x14ac:dyDescent="0.25">
      <c r="A262" s="19" t="s">
        <v>817</v>
      </c>
      <c r="B262">
        <v>78111</v>
      </c>
    </row>
    <row r="263" spans="1:2" x14ac:dyDescent="0.25">
      <c r="A263" s="19" t="s">
        <v>804</v>
      </c>
      <c r="B263">
        <v>101192</v>
      </c>
    </row>
    <row r="264" spans="1:2" x14ac:dyDescent="0.25">
      <c r="A264" s="19" t="s">
        <v>527</v>
      </c>
      <c r="B264">
        <v>70175</v>
      </c>
    </row>
    <row r="265" spans="1:2" x14ac:dyDescent="0.25">
      <c r="A265" s="19" t="s">
        <v>430</v>
      </c>
      <c r="B265">
        <v>40906</v>
      </c>
    </row>
    <row r="266" spans="1:2" x14ac:dyDescent="0.25">
      <c r="A266" s="19" t="s">
        <v>189</v>
      </c>
      <c r="B266">
        <v>140863</v>
      </c>
    </row>
    <row r="267" spans="1:2" x14ac:dyDescent="0.25">
      <c r="A267" s="19" t="s">
        <v>280</v>
      </c>
      <c r="B267">
        <v>71440</v>
      </c>
    </row>
    <row r="268" spans="1:2" x14ac:dyDescent="0.25">
      <c r="A268" s="19" t="s">
        <v>655</v>
      </c>
      <c r="B268">
        <v>15750</v>
      </c>
    </row>
    <row r="269" spans="1:2" x14ac:dyDescent="0.25">
      <c r="A269" s="19" t="s">
        <v>532</v>
      </c>
      <c r="B269">
        <v>16906</v>
      </c>
    </row>
    <row r="270" spans="1:2" x14ac:dyDescent="0.25">
      <c r="A270" s="19" t="s">
        <v>858</v>
      </c>
      <c r="B270">
        <v>141086</v>
      </c>
    </row>
    <row r="271" spans="1:2" x14ac:dyDescent="0.25">
      <c r="A271" s="19" t="s">
        <v>441</v>
      </c>
      <c r="B271">
        <v>54507</v>
      </c>
    </row>
    <row r="272" spans="1:2" x14ac:dyDescent="0.25">
      <c r="A272" s="19" t="s">
        <v>588</v>
      </c>
      <c r="B272">
        <v>44316</v>
      </c>
    </row>
    <row r="273" spans="1:2" x14ac:dyDescent="0.25">
      <c r="A273" s="19" t="s">
        <v>60</v>
      </c>
      <c r="B273">
        <v>187859</v>
      </c>
    </row>
    <row r="274" spans="1:2" x14ac:dyDescent="0.25">
      <c r="A274" s="19" t="s">
        <v>81</v>
      </c>
      <c r="B274">
        <v>46653</v>
      </c>
    </row>
    <row r="275" spans="1:2" x14ac:dyDescent="0.25">
      <c r="A275" s="19" t="s">
        <v>713</v>
      </c>
      <c r="B275">
        <v>56098</v>
      </c>
    </row>
    <row r="276" spans="1:2" x14ac:dyDescent="0.25">
      <c r="A276" s="19" t="s">
        <v>942</v>
      </c>
      <c r="B276">
        <v>9540</v>
      </c>
    </row>
    <row r="277" spans="1:2" x14ac:dyDescent="0.25">
      <c r="A277" s="19" t="s">
        <v>67</v>
      </c>
      <c r="B277">
        <v>133740</v>
      </c>
    </row>
    <row r="278" spans="1:2" x14ac:dyDescent="0.25">
      <c r="A278" s="19" t="s">
        <v>191</v>
      </c>
      <c r="B278">
        <v>21670</v>
      </c>
    </row>
    <row r="279" spans="1:2" x14ac:dyDescent="0.25">
      <c r="A279" s="19" t="s">
        <v>573</v>
      </c>
      <c r="B279">
        <v>37809</v>
      </c>
    </row>
    <row r="280" spans="1:2" x14ac:dyDescent="0.25">
      <c r="A280" s="19" t="s">
        <v>224</v>
      </c>
      <c r="B280">
        <v>142983</v>
      </c>
    </row>
    <row r="281" spans="1:2" x14ac:dyDescent="0.25">
      <c r="A281" s="19" t="s">
        <v>457</v>
      </c>
      <c r="B281">
        <v>65502</v>
      </c>
    </row>
    <row r="282" spans="1:2" x14ac:dyDescent="0.25">
      <c r="A282" s="19" t="s">
        <v>25</v>
      </c>
      <c r="B282">
        <v>309183</v>
      </c>
    </row>
    <row r="283" spans="1:2" x14ac:dyDescent="0.25">
      <c r="A283" s="19" t="s">
        <v>333</v>
      </c>
      <c r="B283">
        <v>105795</v>
      </c>
    </row>
    <row r="284" spans="1:2" x14ac:dyDescent="0.25">
      <c r="A284" s="19" t="s">
        <v>853</v>
      </c>
      <c r="B284">
        <v>56214</v>
      </c>
    </row>
    <row r="285" spans="1:2" x14ac:dyDescent="0.25">
      <c r="A285" s="19" t="s">
        <v>13</v>
      </c>
      <c r="B285">
        <v>2220</v>
      </c>
    </row>
    <row r="286" spans="1:2" x14ac:dyDescent="0.25">
      <c r="A286" s="19" t="s">
        <v>698</v>
      </c>
      <c r="B286">
        <v>30404</v>
      </c>
    </row>
    <row r="287" spans="1:2" x14ac:dyDescent="0.25">
      <c r="A287" s="19" t="s">
        <v>418</v>
      </c>
      <c r="B287">
        <v>198165</v>
      </c>
    </row>
    <row r="288" spans="1:2" x14ac:dyDescent="0.25">
      <c r="A288" s="19" t="s">
        <v>42</v>
      </c>
      <c r="B288">
        <v>72468</v>
      </c>
    </row>
    <row r="289" spans="1:2" x14ac:dyDescent="0.25">
      <c r="A289" s="19" t="s">
        <v>85</v>
      </c>
      <c r="B289">
        <v>103371</v>
      </c>
    </row>
    <row r="290" spans="1:2" x14ac:dyDescent="0.25">
      <c r="A290" s="19" t="s">
        <v>466</v>
      </c>
      <c r="B290">
        <v>151008</v>
      </c>
    </row>
    <row r="291" spans="1:2" x14ac:dyDescent="0.25">
      <c r="A291" s="19" t="s">
        <v>832</v>
      </c>
      <c r="B291">
        <v>11078</v>
      </c>
    </row>
    <row r="292" spans="1:2" x14ac:dyDescent="0.25">
      <c r="A292" s="19" t="s">
        <v>302</v>
      </c>
      <c r="B292">
        <v>16717</v>
      </c>
    </row>
    <row r="293" spans="1:2" x14ac:dyDescent="0.25">
      <c r="A293" s="19" t="s">
        <v>341</v>
      </c>
      <c r="B293">
        <v>20174</v>
      </c>
    </row>
    <row r="294" spans="1:2" x14ac:dyDescent="0.25">
      <c r="A294" s="19" t="s">
        <v>135</v>
      </c>
      <c r="B294">
        <v>124410</v>
      </c>
    </row>
    <row r="295" spans="1:2" x14ac:dyDescent="0.25">
      <c r="A295" s="19" t="s">
        <v>720</v>
      </c>
      <c r="B295">
        <v>100792</v>
      </c>
    </row>
    <row r="296" spans="1:2" x14ac:dyDescent="0.25">
      <c r="A296" s="19" t="s">
        <v>944</v>
      </c>
      <c r="B296">
        <v>15936</v>
      </c>
    </row>
    <row r="297" spans="1:2" x14ac:dyDescent="0.25">
      <c r="A297" s="19" t="s">
        <v>110</v>
      </c>
      <c r="B297">
        <v>64650</v>
      </c>
    </row>
    <row r="298" spans="1:2" x14ac:dyDescent="0.25">
      <c r="A298" s="19" t="s">
        <v>915</v>
      </c>
      <c r="B298">
        <v>11780</v>
      </c>
    </row>
    <row r="299" spans="1:2" x14ac:dyDescent="0.25">
      <c r="A299" s="19" t="s">
        <v>91</v>
      </c>
      <c r="B299">
        <v>24296</v>
      </c>
    </row>
    <row r="300" spans="1:2" x14ac:dyDescent="0.25">
      <c r="A300" s="19" t="s">
        <v>794</v>
      </c>
      <c r="B300">
        <v>47012</v>
      </c>
    </row>
    <row r="301" spans="1:2" x14ac:dyDescent="0.25">
      <c r="A301" s="19" t="s">
        <v>255</v>
      </c>
      <c r="B301">
        <v>57504</v>
      </c>
    </row>
    <row r="302" spans="1:2" x14ac:dyDescent="0.25">
      <c r="A302" s="19" t="s">
        <v>425</v>
      </c>
      <c r="B302">
        <v>56820</v>
      </c>
    </row>
    <row r="303" spans="1:2" x14ac:dyDescent="0.25">
      <c r="A303" s="19" t="s">
        <v>637</v>
      </c>
      <c r="B303">
        <v>57901</v>
      </c>
    </row>
    <row r="304" spans="1:2" x14ac:dyDescent="0.25">
      <c r="A304" s="19" t="s">
        <v>996</v>
      </c>
      <c r="B304">
        <v>21354298</v>
      </c>
    </row>
  </sheetData>
  <mergeCells count="1">
    <mergeCell ref="A2:B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DD1EF-195D-4EBA-87EB-989EE62614CE}">
  <dimension ref="A3:D4"/>
  <sheetViews>
    <sheetView workbookViewId="0">
      <selection activeCell="C19" sqref="C19"/>
    </sheetView>
  </sheetViews>
  <sheetFormatPr defaultRowHeight="15" x14ac:dyDescent="0.25"/>
  <cols>
    <col min="1" max="1" width="17.7109375" bestFit="1" customWidth="1"/>
    <col min="2" max="2" width="15.42578125" bestFit="1" customWidth="1"/>
    <col min="3" max="3" width="18.85546875" bestFit="1" customWidth="1"/>
    <col min="4" max="4" width="12.5703125" bestFit="1" customWidth="1"/>
  </cols>
  <sheetData>
    <row r="3" spans="1:4" x14ac:dyDescent="0.25">
      <c r="A3" t="s">
        <v>997</v>
      </c>
      <c r="B3" t="s">
        <v>1006</v>
      </c>
      <c r="C3" t="s">
        <v>1007</v>
      </c>
      <c r="D3" t="s">
        <v>998</v>
      </c>
    </row>
    <row r="4" spans="1:4" x14ac:dyDescent="0.25">
      <c r="A4">
        <v>21354298</v>
      </c>
      <c r="B4">
        <v>5162</v>
      </c>
      <c r="C4">
        <v>575040000</v>
      </c>
      <c r="D4">
        <v>-28569702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20B1-4CF8-4CBA-9A37-85641F16B93C}">
  <dimension ref="A5:B5"/>
  <sheetViews>
    <sheetView workbookViewId="0">
      <selection activeCell="M23" sqref="M23"/>
    </sheetView>
  </sheetViews>
  <sheetFormatPr defaultRowHeight="15" x14ac:dyDescent="0.25"/>
  <cols>
    <col min="1" max="1" width="11.28515625" bestFit="1" customWidth="1"/>
    <col min="2" max="2" width="12.7109375" bestFit="1" customWidth="1"/>
  </cols>
  <sheetData>
    <row r="5" spans="1:2" x14ac:dyDescent="0.25">
      <c r="A5" s="18"/>
      <c r="B5"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36499-217A-4B7C-B06E-281E4F73FD51}">
  <dimension ref="A1:S60"/>
  <sheetViews>
    <sheetView showGridLines="0" tabSelected="1" topLeftCell="A37" zoomScale="70" zoomScaleNormal="70" workbookViewId="0">
      <selection activeCell="R64" sqref="R64"/>
    </sheetView>
  </sheetViews>
  <sheetFormatPr defaultRowHeight="23.25" x14ac:dyDescent="0.35"/>
  <cols>
    <col min="1" max="1" width="12.42578125" style="15" bestFit="1" customWidth="1"/>
    <col min="2" max="2" width="8.140625" style="15" bestFit="1" customWidth="1"/>
    <col min="3" max="4" width="14.7109375" style="15" customWidth="1"/>
    <col min="5" max="5" width="9.7109375" style="15" customWidth="1"/>
    <col min="6" max="9" width="14.7109375" style="15" customWidth="1"/>
    <col min="10" max="10" width="9.7109375" style="15" customWidth="1"/>
    <col min="11" max="13" width="14.7109375" style="15" customWidth="1"/>
    <col min="14" max="14" width="14.7109375" customWidth="1"/>
    <col min="15" max="15" width="9.7109375" customWidth="1"/>
    <col min="16" max="19" width="14.7109375" customWidth="1"/>
  </cols>
  <sheetData>
    <row r="1" spans="1:19" ht="14.45" customHeight="1" x14ac:dyDescent="0.35">
      <c r="A1" s="20" t="s">
        <v>999</v>
      </c>
      <c r="B1" s="21"/>
      <c r="C1" s="21"/>
      <c r="D1" s="22"/>
      <c r="F1" s="20" t="s">
        <v>1000</v>
      </c>
      <c r="G1" s="21"/>
      <c r="H1" s="21"/>
      <c r="I1" s="22"/>
      <c r="K1" s="20" t="s">
        <v>1008</v>
      </c>
      <c r="L1" s="21"/>
      <c r="M1" s="21"/>
      <c r="N1" s="22"/>
      <c r="P1" s="20" t="s">
        <v>1009</v>
      </c>
      <c r="Q1" s="21"/>
      <c r="R1" s="21"/>
      <c r="S1" s="22"/>
    </row>
    <row r="2" spans="1:19" ht="14.45" customHeight="1" x14ac:dyDescent="0.35">
      <c r="A2" s="23"/>
      <c r="B2" s="24"/>
      <c r="C2" s="24"/>
      <c r="D2" s="25"/>
      <c r="F2" s="23"/>
      <c r="G2" s="24"/>
      <c r="H2" s="24"/>
      <c r="I2" s="25"/>
      <c r="K2" s="23"/>
      <c r="L2" s="24"/>
      <c r="M2" s="24"/>
      <c r="N2" s="25"/>
      <c r="P2" s="23"/>
      <c r="Q2" s="24"/>
      <c r="R2" s="24"/>
      <c r="S2" s="25"/>
    </row>
    <row r="3" spans="1:19" ht="14.45" customHeight="1" x14ac:dyDescent="0.35">
      <c r="A3" s="23"/>
      <c r="B3" s="24"/>
      <c r="C3" s="24"/>
      <c r="D3" s="25"/>
      <c r="F3" s="23"/>
      <c r="G3" s="24"/>
      <c r="H3" s="24"/>
      <c r="I3" s="25"/>
      <c r="K3" s="23"/>
      <c r="L3" s="24"/>
      <c r="M3" s="24"/>
      <c r="N3" s="25"/>
      <c r="P3" s="23"/>
      <c r="Q3" s="24"/>
      <c r="R3" s="24"/>
      <c r="S3" s="25"/>
    </row>
    <row r="4" spans="1:19" ht="14.45" customHeight="1" x14ac:dyDescent="0.35">
      <c r="A4" s="23"/>
      <c r="B4" s="24"/>
      <c r="C4" s="24"/>
      <c r="D4" s="25"/>
      <c r="F4" s="23"/>
      <c r="G4" s="24"/>
      <c r="H4" s="24"/>
      <c r="I4" s="25"/>
      <c r="K4" s="23"/>
      <c r="L4" s="24"/>
      <c r="M4" s="24"/>
      <c r="N4" s="25"/>
      <c r="P4" s="23"/>
      <c r="Q4" s="24"/>
      <c r="R4" s="24"/>
      <c r="S4" s="25"/>
    </row>
    <row r="5" spans="1:19" ht="14.45" customHeight="1" x14ac:dyDescent="0.35">
      <c r="A5" s="23"/>
      <c r="B5" s="24"/>
      <c r="C5" s="24"/>
      <c r="D5" s="25"/>
      <c r="F5" s="23"/>
      <c r="G5" s="24"/>
      <c r="H5" s="24"/>
      <c r="I5" s="25"/>
      <c r="K5" s="23"/>
      <c r="L5" s="24"/>
      <c r="M5" s="24"/>
      <c r="N5" s="25"/>
      <c r="P5" s="23"/>
      <c r="Q5" s="24"/>
      <c r="R5" s="24"/>
      <c r="S5" s="25"/>
    </row>
    <row r="6" spans="1:19" ht="14.45" customHeight="1" x14ac:dyDescent="0.35">
      <c r="A6" s="26">
        <f>GETPIVOTDATA("Sum of Total_sales",KPIs!$A$3)</f>
        <v>21354298</v>
      </c>
      <c r="B6" s="27"/>
      <c r="C6" s="27"/>
      <c r="D6" s="28"/>
      <c r="F6" s="26">
        <f>GETPIVOTDATA("Sum of Profit",KPIs!$A$3)</f>
        <v>-28569702</v>
      </c>
      <c r="G6" s="27"/>
      <c r="H6" s="27"/>
      <c r="I6" s="28"/>
      <c r="K6" s="26">
        <f>GETPIVOTDATA("Sum of Target_sales",KPIs!$A$3)</f>
        <v>575040000</v>
      </c>
      <c r="L6" s="27"/>
      <c r="M6" s="27"/>
      <c r="N6" s="28"/>
      <c r="P6" s="26">
        <f>GETPIVOTDATA("Sum of Quantity",KPIs!$A$3)</f>
        <v>5162</v>
      </c>
      <c r="Q6" s="27"/>
      <c r="R6" s="27"/>
      <c r="S6" s="28"/>
    </row>
    <row r="7" spans="1:19" ht="14.45" customHeight="1" x14ac:dyDescent="0.35">
      <c r="A7" s="26"/>
      <c r="B7" s="27"/>
      <c r="C7" s="27"/>
      <c r="D7" s="28"/>
      <c r="F7" s="26"/>
      <c r="G7" s="27"/>
      <c r="H7" s="27"/>
      <c r="I7" s="28"/>
      <c r="K7" s="26"/>
      <c r="L7" s="27"/>
      <c r="M7" s="27"/>
      <c r="N7" s="28"/>
      <c r="P7" s="26"/>
      <c r="Q7" s="27"/>
      <c r="R7" s="27"/>
      <c r="S7" s="28"/>
    </row>
    <row r="8" spans="1:19" ht="14.45" customHeight="1" x14ac:dyDescent="0.35">
      <c r="A8" s="26"/>
      <c r="B8" s="27"/>
      <c r="C8" s="27"/>
      <c r="D8" s="28"/>
      <c r="F8" s="26"/>
      <c r="G8" s="27"/>
      <c r="H8" s="27"/>
      <c r="I8" s="28"/>
      <c r="K8" s="26"/>
      <c r="L8" s="27"/>
      <c r="M8" s="27"/>
      <c r="N8" s="28"/>
      <c r="P8" s="26"/>
      <c r="Q8" s="27"/>
      <c r="R8" s="27"/>
      <c r="S8" s="28"/>
    </row>
    <row r="9" spans="1:19" ht="14.45" customHeight="1" x14ac:dyDescent="0.35">
      <c r="A9" s="26"/>
      <c r="B9" s="27"/>
      <c r="C9" s="27"/>
      <c r="D9" s="28"/>
      <c r="F9" s="26"/>
      <c r="G9" s="27"/>
      <c r="H9" s="27"/>
      <c r="I9" s="28"/>
      <c r="K9" s="26"/>
      <c r="L9" s="27"/>
      <c r="M9" s="27"/>
      <c r="N9" s="28"/>
      <c r="P9" s="26"/>
      <c r="Q9" s="27"/>
      <c r="R9" s="27"/>
      <c r="S9" s="28"/>
    </row>
    <row r="10" spans="1:19" ht="14.45" customHeight="1" thickBot="1" x14ac:dyDescent="0.4">
      <c r="A10" s="29"/>
      <c r="B10" s="30"/>
      <c r="C10" s="30"/>
      <c r="D10" s="31"/>
      <c r="F10" s="29"/>
      <c r="G10" s="30"/>
      <c r="H10" s="30"/>
      <c r="I10" s="31"/>
      <c r="K10" s="29"/>
      <c r="L10" s="30"/>
      <c r="M10" s="30"/>
      <c r="N10" s="31"/>
      <c r="P10" s="29"/>
      <c r="Q10" s="30"/>
      <c r="R10" s="30"/>
      <c r="S10" s="31"/>
    </row>
    <row r="56" spans="1:4" x14ac:dyDescent="0.35">
      <c r="A56"/>
      <c r="B56"/>
      <c r="C56" s="16"/>
      <c r="D56" s="16"/>
    </row>
    <row r="57" spans="1:4" x14ac:dyDescent="0.35">
      <c r="A57"/>
      <c r="B57"/>
      <c r="C57" s="16"/>
      <c r="D57" s="16"/>
    </row>
    <row r="58" spans="1:4" x14ac:dyDescent="0.35">
      <c r="A58"/>
      <c r="B58"/>
      <c r="C58" s="16"/>
      <c r="D58" s="16"/>
    </row>
    <row r="59" spans="1:4" x14ac:dyDescent="0.35">
      <c r="A59"/>
      <c r="B59"/>
      <c r="C59" s="16"/>
      <c r="D59" s="16"/>
    </row>
    <row r="60" spans="1:4" x14ac:dyDescent="0.35">
      <c r="A60" s="18"/>
      <c r="B60" s="18"/>
    </row>
  </sheetData>
  <mergeCells count="8">
    <mergeCell ref="P1:S5"/>
    <mergeCell ref="P6:S10"/>
    <mergeCell ref="A1:D5"/>
    <mergeCell ref="A6:D10"/>
    <mergeCell ref="F1:I5"/>
    <mergeCell ref="F6:I10"/>
    <mergeCell ref="K1:N5"/>
    <mergeCell ref="K6:N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Sales_Data</vt:lpstr>
      <vt:lpstr>Product_Master</vt:lpstr>
      <vt:lpstr>Sales_Rep_Master</vt:lpstr>
      <vt:lpstr>Region Wise Sales &amp; Profit</vt:lpstr>
      <vt:lpstr>Category wise sales</vt:lpstr>
      <vt:lpstr>Sales Rep Performance</vt:lpstr>
      <vt:lpstr>Monthly Trend</vt:lpstr>
      <vt:lpstr>KPIs</vt:lpstr>
      <vt:lpstr>Fliter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Anand</cp:lastModifiedBy>
  <dcterms:created xsi:type="dcterms:W3CDTF">2026-02-12T06:54:27Z</dcterms:created>
  <dcterms:modified xsi:type="dcterms:W3CDTF">2026-02-12T15:38:36Z</dcterms:modified>
</cp:coreProperties>
</file>